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firstSheet="1" activeTab="1"/>
  </bookViews>
  <sheets>
    <sheet name="cfg_UnitData_单位基础表" sheetId="1" r:id="rId1"/>
    <sheet name="cfg_UnitLogic_单位逻辑表" sheetId="4" r:id="rId2"/>
    <sheet name="数据类型" sheetId="2" r:id="rId3"/>
    <sheet name="单位类型运动" sheetId="5" r:id="rId4"/>
  </sheets>
  <definedNames>
    <definedName name="ExternalData_1" localSheetId="2">数据类型!#REF!</definedName>
    <definedName name="数据类型_Sheet1" localSheetId="2">数据类型!#REF!</definedName>
    <definedName name="连接" localSheetId="2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0A5CE180590A44849EDD25154A69C4BF" descr="好战者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044285" y="4206875"/>
          <a:ext cx="714375" cy="742950"/>
        </a:xfrm>
        <a:prstGeom prst="rect">
          <a:avLst/>
        </a:prstGeom>
      </xdr:spPr>
    </xdr:pic>
  </etc:cellImage>
  <etc:cellImage>
    <xdr:pic>
      <xdr:nvPicPr>
        <xdr:cNvPr id="4" name="ID_26A1FA193C98493C99C09878E58707D9" descr="刺击者外壳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177635" y="5616575"/>
          <a:ext cx="914400" cy="762000"/>
        </a:xfrm>
        <a:prstGeom prst="rect">
          <a:avLst/>
        </a:prstGeom>
      </xdr:spPr>
    </xdr:pic>
  </etc:cellImage>
</etc:cellImages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<sst xmlns="http://schemas.openxmlformats.org/spreadsheetml/2006/main" count="428" uniqueCount="223">
  <si>
    <t>该表用于配置单位基础数据，包括单位名称，攻击基础逻辑等
默认#BASEVALUE</t>
  </si>
  <si>
    <t>实体id</t>
  </si>
  <si>
    <t>单位名称</t>
  </si>
  <si>
    <t>备注
红-拉伦凯斯，黄-永恒秩序，蓝-坠落繁星</t>
  </si>
  <si>
    <t xml:space="preserve">动画类型列表
注意默认移动方向是向上
</t>
  </si>
  <si>
    <t>阴影图像</t>
  </si>
  <si>
    <t>阴影偏移</t>
  </si>
  <si>
    <t>是否有武器机壳</t>
  </si>
  <si>
    <t>武器机壳是否
跟随锁定目标旋转</t>
  </si>
  <si>
    <t>武器机壳旋转速度</t>
  </si>
  <si>
    <t>武器机壳图片</t>
  </si>
  <si>
    <t>字段导出设置</t>
  </si>
  <si>
    <t>字段名称</t>
  </si>
  <si>
    <t>ObjectId</t>
  </si>
  <si>
    <t>UnitName</t>
  </si>
  <si>
    <t>&lt;1|2&gt;#AnimaTypeList</t>
  </si>
  <si>
    <t>ShadowSprite</t>
  </si>
  <si>
    <t>ShadowOffset</t>
  </si>
  <si>
    <t>&lt;FALSE&gt;#IsChassis</t>
  </si>
  <si>
    <t>&lt;TRUE&gt;#IsRotate</t>
  </si>
  <si>
    <t>&lt;90&gt;#RotationSpeed</t>
  </si>
  <si>
    <t>#ChassisImg</t>
  </si>
  <si>
    <t>数据类型</t>
  </si>
  <si>
    <t>INT</t>
  </si>
  <si>
    <t>STR</t>
  </si>
  <si>
    <t>&lt;INT&gt;</t>
  </si>
  <si>
    <t>PNG</t>
  </si>
  <si>
    <t>POINT</t>
  </si>
  <si>
    <t>BOOL</t>
  </si>
  <si>
    <t>自律体-1</t>
  </si>
  <si>
    <t>#BASEVALUE</t>
  </si>
  <si>
    <t>自律体-2</t>
  </si>
  <si>
    <t>装甲人形</t>
  </si>
  <si>
    <t>小型，近战，物理，拥有装甲，防御力强</t>
  </si>
  <si>
    <t>1|2</t>
  </si>
  <si>
    <t>自爆人形</t>
  </si>
  <si>
    <t>小型，近战，爆炸，靠近目标后会爆炸，产生小范围的爆炸伤害</t>
  </si>
  <si>
    <t>好战者</t>
  </si>
  <si>
    <t>中型，近战</t>
  </si>
  <si>
    <t>翻越者</t>
  </si>
  <si>
    <t>刺击者</t>
  </si>
  <si>
    <t>胶囊</t>
  </si>
  <si>
    <t>自爆，运输</t>
  </si>
  <si>
    <t>速射战车</t>
  </si>
  <si>
    <t>中小型，轻型机动车辆，装备一门速射炮，可以快速突破防线</t>
  </si>
  <si>
    <t>臼炮战车</t>
  </si>
  <si>
    <t>中小型，轻型机动车辆，装备火力臼炮，快速抵达目标周围进行火力输出</t>
  </si>
  <si>
    <t>作战人形</t>
  </si>
  <si>
    <t>中程</t>
  </si>
  <si>
    <t>射手人形</t>
  </si>
  <si>
    <t>成群结队，远程，物理，装备双枪，会持续射击</t>
  </si>
  <si>
    <t>枪手</t>
  </si>
  <si>
    <t>中型，远程</t>
  </si>
  <si>
    <t>等离子</t>
  </si>
  <si>
    <t>极远程，超远程攻击，是大多数炮塔的梦魇，本体脆弱，可尝试用道具消灭</t>
  </si>
  <si>
    <t>怒火级陆行舰</t>
  </si>
  <si>
    <t>一种来自远古的沙漠陆行舰设计，在沙漠中运输的高效手段，如今上方已经搭载了大量的火力炮塔，随时作战</t>
  </si>
  <si>
    <t>冲击钻头</t>
  </si>
  <si>
    <t>中型，攻城</t>
  </si>
  <si>
    <t>推土机</t>
  </si>
  <si>
    <t>中型，攻城，护甲</t>
  </si>
  <si>
    <t>干扰体</t>
  </si>
  <si>
    <t>侦测者</t>
  </si>
  <si>
    <t>加固侦测者</t>
  </si>
  <si>
    <t>干扰侦测者</t>
  </si>
  <si>
    <t>导弹攻坚者</t>
  </si>
  <si>
    <t>大型导弹攻坚者</t>
  </si>
  <si>
    <t>小型炮艇</t>
  </si>
  <si>
    <t>大型炮艇</t>
  </si>
  <si>
    <t>旋翼</t>
  </si>
  <si>
    <t>大型旋翼</t>
  </si>
  <si>
    <t>自毁者</t>
  </si>
  <si>
    <t>磁壳自毁者</t>
  </si>
  <si>
    <t>重投轰炸机</t>
  </si>
  <si>
    <t>运输飞艇A型</t>
  </si>
  <si>
    <t>字段导出设置
默认#BASEVALUE</t>
  </si>
  <si>
    <t>单位名称-备注</t>
  </si>
  <si>
    <t xml:space="preserve">单位类型
0 常规陆军 使用导航层1
在地面移动的陆军
1 爬行单位
2 悬浮单位
3 空军-战斗机类型
指没有通常加速减速过程，向目标移动并且盘旋的空军
4 机甲形 陆地单位
5 机甲形 空军单位
</t>
  </si>
  <si>
    <t>武器列表
(武器id,坐标X，坐标Y) 坐标单位像素(偏移中心坐标x,偏移中心坐标y)单位像素(上y-，下y+，左x-，右x+)</t>
  </si>
  <si>
    <t>单位质量
大质量物体更难被推动</t>
  </si>
  <si>
    <t>攻击时是否可以移动
默认 true</t>
  </si>
  <si>
    <t>强制攻击范围
该范围内的敌对目标将被单位所有武器强制攻击
该功能用于防止建筑阻挡寻路路径
0表示不使用</t>
  </si>
  <si>
    <t>与寻路终点的最近距离
寻路到与终点在该距离内时，认为是已经达到终点
要求尽量大于
ForceAttackRange强制攻击范围</t>
  </si>
  <si>
    <t>是否可以旋转武器
表示武器能够跟随目标旋转</t>
  </si>
  <si>
    <t>免疫buffId列表</t>
  </si>
  <si>
    <t>Name</t>
  </si>
  <si>
    <t>UnitAIType</t>
  </si>
  <si>
    <t>WeaponList</t>
  </si>
  <si>
    <t>Mass</t>
  </si>
  <si>
    <t>#AttackIsMove</t>
  </si>
  <si>
    <t>#ForceAttackRange</t>
  </si>
  <si>
    <t>PathfindingDis</t>
  </si>
  <si>
    <t>IsRotateWeapon</t>
  </si>
  <si>
    <t>ImmuneList</t>
  </si>
  <si>
    <t>&lt;(INT)&gt;</t>
  </si>
  <si>
    <t>FLOAT</t>
  </si>
  <si>
    <t>(1001,0,0)</t>
  </si>
  <si>
    <t>(7001,0,0)</t>
  </si>
  <si>
    <t>(7002,0,0)</t>
  </si>
  <si>
    <t>(7003,-28,10)</t>
  </si>
  <si>
    <t>(7006,0,0)</t>
  </si>
  <si>
    <t>(7009,-26,10)</t>
  </si>
  <si>
    <t>(7010,0,0)</t>
  </si>
  <si>
    <t>(8001,0,0)</t>
  </si>
  <si>
    <t>(8002,0,0)</t>
  </si>
  <si>
    <t>(8003,0,0)</t>
  </si>
  <si>
    <t>(8004,0,0)</t>
  </si>
  <si>
    <t>(8005,0,0)</t>
  </si>
  <si>
    <t>(8006,0,0)</t>
  </si>
  <si>
    <t>(80071,11,-9)|(80071,-11,-9)|(80072,0,-20)</t>
  </si>
  <si>
    <t>(9001,0,-29)</t>
  </si>
  <si>
    <t>(9002,0,-29)</t>
  </si>
  <si>
    <t>(10003,0,0)</t>
  </si>
  <si>
    <t>(10004,0,0)</t>
  </si>
  <si>
    <t>(10005,0,0)</t>
  </si>
  <si>
    <t>(10006,0,-20)|(10006,0,-10)|(10006,0,10)|(10006,0,20)</t>
  </si>
  <si>
    <t>(10006,0,-40)|(10006,0,-30)|(10006,0,-20)|(10006,0,-10)|(10006,0,10)|(10006,0,20)|(10006,0,30)|(10006,0,40)</t>
  </si>
  <si>
    <t>(10008,0,0)</t>
  </si>
  <si>
    <t>(10009,0,0)</t>
  </si>
  <si>
    <t>(10019,0,-10)|(10019,0,10)</t>
  </si>
  <si>
    <t>(10019,0,-20)|(10019,0,-10)|(10019,0,10)|(10019,0,20)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</si>
  <si>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</si>
  <si>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</si>
  <si>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</si>
  <si>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</si>
  <si>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</si>
  <si>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</si>
  <si>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</si>
  <si>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</si>
  <si>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</si>
  <si>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</si>
  <si>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</si>
  <si>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</si>
  <si>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</si>
  <si>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</si>
  <si>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</si>
  <si>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</si>
  <si>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</si>
  <si>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</si>
  <si>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</si>
  <si>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</si>
  <si>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</si>
  <si>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</si>
  <si>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</si>
  <si>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</si>
  <si>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</si>
  <si>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</si>
  <si>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</si>
  <si>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</si>
  <si>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</si>
  <si>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</si>
  <si>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</si>
  <si>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</si>
  <si>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</si>
  <si>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</si>
  <si>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</si>
  <si>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</si>
  <si>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</si>
  <si>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</si>
  <si>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</si>
  <si>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</si>
  <si>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</si>
  <si>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</si>
  <si>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</si>
  <si>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</si>
  <si>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</si>
  <si>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</si>
  <si>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</si>
  <si>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</si>
  <si>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</si>
  <si>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</si>
  <si>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</si>
  <si>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</si>
  <si>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</si>
  <si>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</si>
  <si>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(0,0)</t>
  </si>
  <si>
    <t>保存小数二维坐标的类型</t>
  </si>
  <si>
    <t>(1.2,3.5)</t>
  </si>
  <si>
    <t>&lt;LANG&gt;</t>
  </si>
  <si>
    <t>语言id列表</t>
  </si>
  <si>
    <t>&lt;POINT&gt;</t>
  </si>
  <si>
    <t>坐标点列表，Vector2的列表，用于保存小数二维坐标列表的类型</t>
  </si>
  <si>
    <t>(1.2,3.5)|(1.4,3.2)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</si>
  <si>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</si>
  <si>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</si>
  <si>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</si>
  <si>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</si>
  <si>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</si>
  <si>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</si>
  <si>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</si>
  <si>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</si>
  <si>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</si>
  <si>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</si>
  <si>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</si>
  <si>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</si>
  <si>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</si>
  <si>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</si>
  <si>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</si>
  <si>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</si>
  <si>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</si>
  <si>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</si>
  <si>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</si>
  <si>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</si>
  <si>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</si>
  <si>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</si>
  <si>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</si>
  <si>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</si>
  <si>
    <t>运动id</t>
  </si>
  <si>
    <t>运动类型名称</t>
  </si>
  <si>
    <t>是否可以通过地面</t>
  </si>
  <si>
    <t>是否可以通过墙壁</t>
  </si>
  <si>
    <t>是否可以通过悬崖</t>
  </si>
  <si>
    <t>是否可以通过不可建造地面</t>
  </si>
  <si>
    <t>是否可以通过沼泽</t>
  </si>
  <si>
    <t>是否可以通过熔岩</t>
  </si>
  <si>
    <t>是否可以通过边缘</t>
  </si>
  <si>
    <t>MovementName</t>
  </si>
  <si>
    <t>陆地</t>
  </si>
  <si>
    <t>爬行</t>
  </si>
  <si>
    <t>悬浮</t>
  </si>
  <si>
    <t>飞行</t>
  </si>
  <si>
    <t>陆地-熔岩</t>
  </si>
  <si>
    <t>两栖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</si>
</sst>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0"/>
      <color theme="1"/>
      <name val="黑体"/>
      <charset val="134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b/>
      <sz val="12"/>
      <name val="宋体"/>
      <charset val="134"/>
    </font>
    <font>
      <sz val="10"/>
      <color rgb="FF000000"/>
      <name val="黑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11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topLeftCell="A14" workbookViewId="0">
      <selection activeCell="I19" sqref="I19"/>
    </sheetView>
  </sheetViews>
  <sheetFormatPr defaultColWidth="9" defaultRowHeight="13.5"/>
  <cols>
    <col min="1" max="1" width="22.375" style="1" customWidth="1"/>
    <col min="2" max="3" width="17.325" style="1" customWidth="1"/>
    <col min="4" max="4" width="63.5" style="1" customWidth="1"/>
    <col min="5" max="5" width="22.625" style="1" customWidth="1"/>
    <col min="6" max="7" width="17.325" style="1" customWidth="1"/>
    <col min="8" max="8" width="23.875" customWidth="1"/>
    <col min="9" max="9" width="21.875" customWidth="1"/>
    <col min="10" max="10" width="23.5" customWidth="1"/>
    <col min="11" max="16381" width="15.75" customWidth="1"/>
    <col min="16382" max="16382" width="15.75"/>
  </cols>
  <sheetData>
    <row r="1" customFormat="1" ht="87" customHeight="1" spans="1:11">
      <c r="A1" s="21" t="s">
        <v>0</v>
      </c>
      <c r="B1" s="22" t="s">
        <v>1</v>
      </c>
      <c r="C1" s="22" t="s">
        <v>2</v>
      </c>
      <c r="D1" s="21" t="s">
        <v>3</v>
      </c>
      <c r="E1" s="21" t="s">
        <v>4</v>
      </c>
      <c r="F1" s="23" t="s">
        <v>5</v>
      </c>
      <c r="G1" s="23" t="s">
        <v>6</v>
      </c>
      <c r="H1" s="24" t="s">
        <v>7</v>
      </c>
      <c r="I1" s="24" t="s">
        <v>8</v>
      </c>
      <c r="J1" s="32" t="s">
        <v>9</v>
      </c>
      <c r="K1" s="32" t="s">
        <v>10</v>
      </c>
    </row>
    <row r="2" customFormat="1" ht="24" customHeight="1" spans="1:11">
      <c r="A2" s="22" t="s">
        <v>11</v>
      </c>
      <c r="B2" s="9">
        <v>1</v>
      </c>
      <c r="C2" s="9">
        <v>2</v>
      </c>
      <c r="D2" s="9">
        <v>0</v>
      </c>
      <c r="E2" s="9">
        <v>2</v>
      </c>
      <c r="F2" s="11">
        <v>2</v>
      </c>
      <c r="G2" s="11">
        <v>2</v>
      </c>
      <c r="H2" s="10">
        <v>2</v>
      </c>
      <c r="I2" s="10">
        <v>2</v>
      </c>
      <c r="J2" s="9">
        <v>2</v>
      </c>
      <c r="K2" s="9">
        <v>3</v>
      </c>
    </row>
    <row r="3" customFormat="1" ht="21" customHeight="1" spans="1:11">
      <c r="A3" s="22" t="s">
        <v>12</v>
      </c>
      <c r="B3" s="22" t="s">
        <v>13</v>
      </c>
      <c r="C3" s="22" t="s">
        <v>14</v>
      </c>
      <c r="D3" s="22"/>
      <c r="E3" s="22" t="s">
        <v>15</v>
      </c>
      <c r="F3" s="23" t="s">
        <v>16</v>
      </c>
      <c r="G3" s="23" t="s">
        <v>17</v>
      </c>
      <c r="H3" s="25" t="s">
        <v>18</v>
      </c>
      <c r="I3" s="25" t="s">
        <v>19</v>
      </c>
      <c r="J3" s="25" t="s">
        <v>20</v>
      </c>
      <c r="K3" s="25" t="s">
        <v>21</v>
      </c>
    </row>
    <row r="4" customFormat="1" ht="17" customHeight="1" spans="1:11">
      <c r="A4" s="26" t="s">
        <v>22</v>
      </c>
      <c r="B4" s="26" t="s">
        <v>23</v>
      </c>
      <c r="C4" s="26" t="s">
        <v>24</v>
      </c>
      <c r="D4" s="26"/>
      <c r="E4" s="26" t="s">
        <v>25</v>
      </c>
      <c r="F4" s="23" t="s">
        <v>26</v>
      </c>
      <c r="G4" s="23" t="s">
        <v>27</v>
      </c>
      <c r="H4" s="9" t="s">
        <v>28</v>
      </c>
      <c r="I4" s="33" t="s">
        <v>28</v>
      </c>
      <c r="J4" s="26" t="s">
        <v>23</v>
      </c>
      <c r="K4" s="33" t="s">
        <v>26</v>
      </c>
    </row>
    <row r="5" customFormat="1" ht="45" customHeight="1" spans="1:11">
      <c r="A5" s="27">
        <v>1</v>
      </c>
      <c r="B5" s="27">
        <v>1001</v>
      </c>
      <c r="C5" s="27" t="s">
        <v>29</v>
      </c>
      <c r="D5" s="27"/>
      <c r="E5" s="27">
        <v>1</v>
      </c>
      <c r="F5" s="28" t="s">
        <v>30</v>
      </c>
      <c r="G5" s="28" t="s">
        <v>30</v>
      </c>
      <c r="H5" s="1"/>
      <c r="I5" s="1"/>
      <c r="J5" s="1"/>
      <c r="K5" s="1"/>
    </row>
    <row r="6" customFormat="1" ht="45" customHeight="1" spans="1:11">
      <c r="A6" s="27">
        <v>1</v>
      </c>
      <c r="B6" s="27">
        <v>1002</v>
      </c>
      <c r="C6" s="27" t="s">
        <v>31</v>
      </c>
      <c r="D6" s="27"/>
      <c r="E6" s="27">
        <v>1</v>
      </c>
      <c r="F6" s="28" t="s">
        <v>30</v>
      </c>
      <c r="G6" s="28" t="s">
        <v>30</v>
      </c>
      <c r="H6" s="1"/>
      <c r="I6" s="1"/>
      <c r="J6" s="1"/>
      <c r="K6" s="1"/>
    </row>
    <row r="7" ht="45" customHeight="1" spans="1:11">
      <c r="A7" s="1">
        <v>1</v>
      </c>
      <c r="B7" s="13">
        <v>7001</v>
      </c>
      <c r="C7" s="13" t="s">
        <v>32</v>
      </c>
      <c r="D7" s="13" t="s">
        <v>33</v>
      </c>
      <c r="E7" s="27" t="s">
        <v>34</v>
      </c>
      <c r="F7" s="28" t="s">
        <v>30</v>
      </c>
      <c r="G7" s="28" t="s">
        <v>30</v>
      </c>
      <c r="H7" s="1"/>
      <c r="I7" s="34"/>
      <c r="J7" s="34"/>
      <c r="K7" s="34"/>
    </row>
    <row r="8" ht="45" customHeight="1" spans="1:7">
      <c r="A8" s="1">
        <v>1</v>
      </c>
      <c r="B8" s="13">
        <v>7002</v>
      </c>
      <c r="C8" s="13" t="s">
        <v>35</v>
      </c>
      <c r="D8" s="13" t="s">
        <v>36</v>
      </c>
      <c r="E8" s="27" t="s">
        <v>34</v>
      </c>
      <c r="F8" s="28" t="s">
        <v>30</v>
      </c>
      <c r="G8" s="28" t="s">
        <v>30</v>
      </c>
    </row>
    <row r="9" ht="45" customHeight="1" spans="1:11">
      <c r="A9" s="1">
        <v>1</v>
      </c>
      <c r="B9" s="13">
        <v>7003</v>
      </c>
      <c r="C9" s="13" t="s">
        <v>37</v>
      </c>
      <c r="D9" s="13" t="s">
        <v>38</v>
      </c>
      <c r="E9" s="27" t="s">
        <v>34</v>
      </c>
      <c r="F9" s="28" t="s">
        <v>30</v>
      </c>
      <c r="G9" s="28" t="s">
        <v>30</v>
      </c>
      <c r="H9" t="b">
        <v>1</v>
      </c>
      <c r="I9" t="b">
        <v>1</v>
      </c>
      <c r="J9">
        <v>90</v>
      </c>
      <c r="K9" t="str">
        <f>_xlfn.DISPIMG("ID_0A5CE180590A44849EDD25154A69C4BF",1)</f>
        <v>=DISPIMG("ID_0A5CE180590A44849EDD25154A69C4BF",1)</v>
      </c>
    </row>
    <row r="10" customFormat="1" ht="45" customHeight="1" spans="1:7">
      <c r="A10" s="1">
        <v>1</v>
      </c>
      <c r="B10" s="13">
        <v>7006</v>
      </c>
      <c r="C10" s="29" t="s">
        <v>39</v>
      </c>
      <c r="D10" s="13" t="s">
        <v>38</v>
      </c>
      <c r="E10" s="27" t="s">
        <v>34</v>
      </c>
      <c r="F10" s="28" t="s">
        <v>30</v>
      </c>
      <c r="G10" s="28" t="s">
        <v>30</v>
      </c>
    </row>
    <row r="11" s="20" customFormat="1" ht="45" customHeight="1" spans="1:11">
      <c r="A11" s="1">
        <v>1</v>
      </c>
      <c r="B11" s="13">
        <v>7009</v>
      </c>
      <c r="C11" s="30" t="s">
        <v>40</v>
      </c>
      <c r="D11" s="13" t="s">
        <v>38</v>
      </c>
      <c r="E11" s="27" t="s">
        <v>34</v>
      </c>
      <c r="F11" s="28" t="s">
        <v>30</v>
      </c>
      <c r="G11" s="28" t="s">
        <v>30</v>
      </c>
      <c r="H11" t="b">
        <v>1</v>
      </c>
      <c r="I11" t="b">
        <v>1</v>
      </c>
      <c r="J11">
        <v>90</v>
      </c>
      <c r="K11" t="str">
        <f>_xlfn.DISPIMG("ID_26A1FA193C98493C99C09878E58707D9",1)</f>
        <v>=DISPIMG("ID_26A1FA193C98493C99C09878E58707D9",1)</v>
      </c>
    </row>
    <row r="12" s="20" customFormat="1" ht="45" customHeight="1" spans="1:11">
      <c r="A12" s="1">
        <v>1</v>
      </c>
      <c r="B12" s="13">
        <v>7010</v>
      </c>
      <c r="C12" s="31" t="s">
        <v>41</v>
      </c>
      <c r="D12" s="13" t="s">
        <v>42</v>
      </c>
      <c r="E12" s="27" t="s">
        <v>34</v>
      </c>
      <c r="F12" s="28" t="s">
        <v>30</v>
      </c>
      <c r="G12" s="28" t="s">
        <v>30</v>
      </c>
      <c r="H12"/>
      <c r="I12"/>
      <c r="J12"/>
      <c r="K12"/>
    </row>
    <row r="13" ht="45" customHeight="1" spans="1:9">
      <c r="A13" s="1">
        <v>1</v>
      </c>
      <c r="B13" s="15">
        <v>8005</v>
      </c>
      <c r="C13" s="15" t="s">
        <v>43</v>
      </c>
      <c r="D13" s="15" t="s">
        <v>44</v>
      </c>
      <c r="E13" s="27" t="s">
        <v>34</v>
      </c>
      <c r="F13" s="28" t="s">
        <v>30</v>
      </c>
      <c r="G13" s="28" t="s">
        <v>30</v>
      </c>
      <c r="I13" s="35"/>
    </row>
    <row r="14" ht="45" customHeight="1" spans="1:9">
      <c r="A14" s="1">
        <v>1</v>
      </c>
      <c r="B14" s="15">
        <v>8006</v>
      </c>
      <c r="C14" s="15" t="s">
        <v>45</v>
      </c>
      <c r="D14" s="15" t="s">
        <v>46</v>
      </c>
      <c r="E14" s="27" t="s">
        <v>34</v>
      </c>
      <c r="F14" s="28" t="s">
        <v>30</v>
      </c>
      <c r="G14" s="28" t="s">
        <v>30</v>
      </c>
      <c r="I14" s="35"/>
    </row>
    <row r="15" ht="45" customHeight="1" spans="1:7">
      <c r="A15" s="1">
        <v>1</v>
      </c>
      <c r="B15" s="15">
        <v>8001</v>
      </c>
      <c r="C15" s="15" t="s">
        <v>47</v>
      </c>
      <c r="D15" s="15" t="s">
        <v>48</v>
      </c>
      <c r="E15" s="27" t="s">
        <v>34</v>
      </c>
      <c r="F15" s="28" t="s">
        <v>30</v>
      </c>
      <c r="G15" s="28" t="s">
        <v>30</v>
      </c>
    </row>
    <row r="16" ht="45" customHeight="1" spans="1:7">
      <c r="A16" s="1">
        <v>1</v>
      </c>
      <c r="B16" s="15">
        <v>8002</v>
      </c>
      <c r="C16" s="15" t="s">
        <v>49</v>
      </c>
      <c r="D16" s="15" t="s">
        <v>50</v>
      </c>
      <c r="E16" s="27" t="s">
        <v>34</v>
      </c>
      <c r="F16" s="28" t="s">
        <v>30</v>
      </c>
      <c r="G16" s="28" t="s">
        <v>30</v>
      </c>
    </row>
    <row r="17" ht="45" customHeight="1" spans="1:7">
      <c r="A17" s="1">
        <v>1</v>
      </c>
      <c r="B17" s="15">
        <v>8003</v>
      </c>
      <c r="C17" s="15" t="s">
        <v>51</v>
      </c>
      <c r="D17" s="15" t="s">
        <v>52</v>
      </c>
      <c r="E17" s="27" t="s">
        <v>34</v>
      </c>
      <c r="F17" s="28" t="s">
        <v>30</v>
      </c>
      <c r="G17" s="28" t="s">
        <v>30</v>
      </c>
    </row>
    <row r="18" spans="1:7">
      <c r="A18" s="1">
        <v>1</v>
      </c>
      <c r="B18" s="15">
        <v>8004</v>
      </c>
      <c r="C18" s="15" t="s">
        <v>53</v>
      </c>
      <c r="D18" s="15" t="s">
        <v>54</v>
      </c>
      <c r="E18" s="27">
        <v>1</v>
      </c>
      <c r="F18" s="28" t="s">
        <v>30</v>
      </c>
      <c r="G18" s="28" t="s">
        <v>30</v>
      </c>
    </row>
    <row r="19" ht="24" spans="1:7">
      <c r="A19" s="1">
        <v>1</v>
      </c>
      <c r="B19" s="15">
        <v>8007</v>
      </c>
      <c r="C19" s="15" t="s">
        <v>55</v>
      </c>
      <c r="D19" s="15" t="s">
        <v>56</v>
      </c>
      <c r="E19" s="27" t="s">
        <v>34</v>
      </c>
      <c r="F19" s="28" t="s">
        <v>30</v>
      </c>
      <c r="G19" s="28" t="s">
        <v>30</v>
      </c>
    </row>
    <row r="20" ht="45" customHeight="1" spans="1:7">
      <c r="A20" s="1">
        <v>1</v>
      </c>
      <c r="B20" s="16">
        <v>9001</v>
      </c>
      <c r="C20" s="16" t="s">
        <v>57</v>
      </c>
      <c r="D20" s="16" t="s">
        <v>58</v>
      </c>
      <c r="E20" s="27" t="s">
        <v>34</v>
      </c>
      <c r="F20" s="28" t="s">
        <v>30</v>
      </c>
      <c r="G20" s="28" t="s">
        <v>30</v>
      </c>
    </row>
    <row r="21" ht="45" customHeight="1" spans="1:7">
      <c r="A21" s="1">
        <v>1</v>
      </c>
      <c r="B21" s="16">
        <v>9002</v>
      </c>
      <c r="C21" s="16" t="s">
        <v>59</v>
      </c>
      <c r="D21" s="16" t="s">
        <v>60</v>
      </c>
      <c r="E21" s="27" t="s">
        <v>34</v>
      </c>
      <c r="F21" s="28" t="s">
        <v>30</v>
      </c>
      <c r="G21" s="28" t="s">
        <v>30</v>
      </c>
    </row>
    <row r="24" spans="1:7">
      <c r="A24" s="1">
        <v>1</v>
      </c>
      <c r="B24" s="17">
        <v>10001</v>
      </c>
      <c r="C24" s="18" t="s">
        <v>61</v>
      </c>
      <c r="E24" s="1">
        <v>1</v>
      </c>
      <c r="F24" s="28" t="s">
        <v>30</v>
      </c>
      <c r="G24" s="28" t="s">
        <v>30</v>
      </c>
    </row>
    <row r="25" spans="1:7">
      <c r="A25" s="1">
        <v>1</v>
      </c>
      <c r="B25" s="17">
        <v>10003</v>
      </c>
      <c r="C25" s="19" t="s">
        <v>62</v>
      </c>
      <c r="E25" s="1">
        <v>1</v>
      </c>
      <c r="F25" s="28" t="s">
        <v>30</v>
      </c>
      <c r="G25" s="28" t="s">
        <v>30</v>
      </c>
    </row>
    <row r="26" spans="1:7">
      <c r="A26" s="1">
        <v>1</v>
      </c>
      <c r="B26" s="17">
        <v>10004</v>
      </c>
      <c r="C26" s="19" t="s">
        <v>63</v>
      </c>
      <c r="E26" s="1">
        <v>1</v>
      </c>
      <c r="F26" s="28" t="s">
        <v>30</v>
      </c>
      <c r="G26" s="28" t="s">
        <v>30</v>
      </c>
    </row>
    <row r="27" spans="1:7">
      <c r="A27" s="1">
        <v>1</v>
      </c>
      <c r="B27" s="17">
        <v>10005</v>
      </c>
      <c r="C27" s="19" t="s">
        <v>64</v>
      </c>
      <c r="E27" s="1">
        <v>1</v>
      </c>
      <c r="F27" s="28" t="s">
        <v>30</v>
      </c>
      <c r="G27" s="28" t="s">
        <v>30</v>
      </c>
    </row>
    <row r="28" spans="1:7">
      <c r="A28" s="1">
        <v>1</v>
      </c>
      <c r="B28" s="17">
        <v>10006</v>
      </c>
      <c r="C28" s="17" t="s">
        <v>65</v>
      </c>
      <c r="E28" s="1">
        <v>1</v>
      </c>
      <c r="F28" s="28" t="s">
        <v>30</v>
      </c>
      <c r="G28" s="28" t="s">
        <v>30</v>
      </c>
    </row>
    <row r="29" spans="1:7">
      <c r="A29" s="1">
        <v>1</v>
      </c>
      <c r="B29" s="17">
        <v>10007</v>
      </c>
      <c r="C29" s="17" t="s">
        <v>66</v>
      </c>
      <c r="E29" s="1">
        <v>1</v>
      </c>
      <c r="F29" s="28" t="s">
        <v>30</v>
      </c>
      <c r="G29" s="28" t="s">
        <v>30</v>
      </c>
    </row>
    <row r="30" spans="1:7">
      <c r="A30" s="1">
        <v>1</v>
      </c>
      <c r="B30" s="17">
        <v>10008</v>
      </c>
      <c r="C30" s="17" t="s">
        <v>67</v>
      </c>
      <c r="E30" s="1">
        <v>1</v>
      </c>
      <c r="F30" s="28" t="s">
        <v>30</v>
      </c>
      <c r="G30" s="28" t="s">
        <v>30</v>
      </c>
    </row>
    <row r="31" spans="1:7">
      <c r="A31" s="1">
        <v>1</v>
      </c>
      <c r="B31" s="17">
        <v>10009</v>
      </c>
      <c r="C31" s="18" t="s">
        <v>68</v>
      </c>
      <c r="E31" s="1">
        <v>1</v>
      </c>
      <c r="F31" s="28" t="s">
        <v>30</v>
      </c>
      <c r="G31" s="28" t="s">
        <v>30</v>
      </c>
    </row>
    <row r="32" spans="1:7">
      <c r="A32" s="1">
        <v>1</v>
      </c>
      <c r="B32" s="17">
        <v>10019</v>
      </c>
      <c r="C32" s="19" t="s">
        <v>69</v>
      </c>
      <c r="E32" s="1">
        <v>1</v>
      </c>
      <c r="F32" s="28" t="s">
        <v>30</v>
      </c>
      <c r="G32" s="28" t="s">
        <v>30</v>
      </c>
    </row>
    <row r="33" spans="1:7">
      <c r="A33" s="1">
        <v>1</v>
      </c>
      <c r="B33" s="17">
        <v>10020</v>
      </c>
      <c r="C33" s="19" t="s">
        <v>70</v>
      </c>
      <c r="E33" s="1">
        <v>1</v>
      </c>
      <c r="F33" s="28" t="s">
        <v>30</v>
      </c>
      <c r="G33" s="28" t="s">
        <v>30</v>
      </c>
    </row>
    <row r="34" spans="1:7">
      <c r="A34" s="1">
        <v>1</v>
      </c>
      <c r="B34" s="17">
        <v>10023</v>
      </c>
      <c r="C34" s="18" t="s">
        <v>71</v>
      </c>
      <c r="E34" s="1">
        <v>1</v>
      </c>
      <c r="F34" s="28" t="s">
        <v>30</v>
      </c>
      <c r="G34" s="28" t="s">
        <v>30</v>
      </c>
    </row>
    <row r="35" spans="1:7">
      <c r="A35" s="1">
        <v>1</v>
      </c>
      <c r="B35" s="17">
        <v>10024</v>
      </c>
      <c r="C35" s="18" t="s">
        <v>72</v>
      </c>
      <c r="E35" s="1">
        <v>1</v>
      </c>
      <c r="F35" s="28" t="s">
        <v>30</v>
      </c>
      <c r="G35" s="28" t="s">
        <v>30</v>
      </c>
    </row>
    <row r="36" spans="1:7">
      <c r="A36" s="1">
        <v>1</v>
      </c>
      <c r="B36" s="17">
        <v>10025</v>
      </c>
      <c r="C36" s="17" t="s">
        <v>73</v>
      </c>
      <c r="E36" s="1">
        <v>1</v>
      </c>
      <c r="F36" s="28" t="s">
        <v>30</v>
      </c>
      <c r="G36" s="28" t="s">
        <v>30</v>
      </c>
    </row>
    <row r="37" spans="1:7">
      <c r="A37" s="1">
        <v>1</v>
      </c>
      <c r="B37" s="17">
        <v>10031</v>
      </c>
      <c r="C37" s="17" t="s">
        <v>74</v>
      </c>
      <c r="E37" s="1">
        <v>1</v>
      </c>
      <c r="F37" s="28" t="s">
        <v>30</v>
      </c>
      <c r="G37" s="28" t="s">
        <v>30</v>
      </c>
    </row>
  </sheetData>
  <dataValidations count="1">
    <dataValidation type="list" allowBlank="1" showInputMessage="1" showErrorMessage="1" sqref="B4:H4 J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xSplit="3" topLeftCell="D1" activePane="topRight" state="frozen"/>
      <selection/>
      <selection pane="topRight" activeCell="E31" sqref="E31"/>
    </sheetView>
  </sheetViews>
  <sheetFormatPr defaultColWidth="9" defaultRowHeight="13.5"/>
  <cols>
    <col min="1" max="1" width="22.6083333333333" customWidth="1"/>
    <col min="2" max="2" width="31.325" customWidth="1"/>
    <col min="3" max="3" width="15.9666666666667" customWidth="1"/>
    <col min="4" max="4" width="32.6083333333333" customWidth="1"/>
    <col min="5" max="5" width="34.1333333333333" customWidth="1"/>
    <col min="6" max="7" width="18.275" customWidth="1"/>
    <col min="8" max="8" width="25.15" customWidth="1"/>
    <col min="9" max="9" width="31.2916666666667" customWidth="1"/>
    <col min="10" max="11" width="34.9916666666667" customWidth="1"/>
  </cols>
  <sheetData>
    <row r="1" ht="156.75" spans="1:11">
      <c r="A1" s="5" t="s">
        <v>75</v>
      </c>
      <c r="B1" s="5" t="s">
        <v>1</v>
      </c>
      <c r="C1" s="5" t="s">
        <v>76</v>
      </c>
      <c r="D1" s="6" t="s">
        <v>77</v>
      </c>
      <c r="E1" s="5" t="s">
        <v>78</v>
      </c>
      <c r="F1" s="5" t="s">
        <v>79</v>
      </c>
      <c r="G1" s="5" t="s">
        <v>80</v>
      </c>
      <c r="H1" s="7" t="s">
        <v>81</v>
      </c>
      <c r="I1" s="5" t="s">
        <v>82</v>
      </c>
      <c r="J1" s="5" t="s">
        <v>83</v>
      </c>
      <c r="K1" s="5" t="s">
        <v>84</v>
      </c>
    </row>
    <row r="2" ht="14.25" spans="1:11">
      <c r="A2" s="8" t="s">
        <v>11</v>
      </c>
      <c r="B2" s="9">
        <v>1</v>
      </c>
      <c r="C2" s="9">
        <v>0</v>
      </c>
      <c r="D2" s="9">
        <v>2</v>
      </c>
      <c r="E2" s="9">
        <v>2</v>
      </c>
      <c r="F2" s="9">
        <v>2</v>
      </c>
      <c r="G2" s="10">
        <v>2</v>
      </c>
      <c r="H2" s="11">
        <v>2</v>
      </c>
      <c r="I2" s="9">
        <v>2</v>
      </c>
      <c r="J2" s="9">
        <v>2</v>
      </c>
      <c r="K2" s="9">
        <v>3</v>
      </c>
    </row>
    <row r="3" ht="14.25" spans="1:11">
      <c r="A3" s="8" t="s">
        <v>12</v>
      </c>
      <c r="B3" s="9" t="s">
        <v>13</v>
      </c>
      <c r="C3" s="9" t="s">
        <v>85</v>
      </c>
      <c r="D3" s="9" t="s">
        <v>86</v>
      </c>
      <c r="E3" s="9" t="s">
        <v>87</v>
      </c>
      <c r="F3" s="9" t="s">
        <v>88</v>
      </c>
      <c r="G3" s="10" t="s">
        <v>89</v>
      </c>
      <c r="H3" s="11" t="s">
        <v>90</v>
      </c>
      <c r="I3" s="9" t="s">
        <v>91</v>
      </c>
      <c r="J3" s="9" t="s">
        <v>92</v>
      </c>
      <c r="K3" s="9" t="s">
        <v>93</v>
      </c>
    </row>
    <row r="4" ht="14.25" spans="1:11">
      <c r="A4" s="8" t="s">
        <v>22</v>
      </c>
      <c r="B4" s="9" t="s">
        <v>23</v>
      </c>
      <c r="C4" s="9" t="s">
        <v>24</v>
      </c>
      <c r="D4" s="9" t="s">
        <v>23</v>
      </c>
      <c r="E4" s="9" t="s">
        <v>94</v>
      </c>
      <c r="F4" s="9" t="s">
        <v>23</v>
      </c>
      <c r="G4" s="10" t="s">
        <v>28</v>
      </c>
      <c r="H4" s="11" t="s">
        <v>95</v>
      </c>
      <c r="I4" s="9" t="s">
        <v>95</v>
      </c>
      <c r="J4" s="9" t="s">
        <v>28</v>
      </c>
      <c r="K4" s="9" t="s">
        <v>25</v>
      </c>
    </row>
    <row r="5" s="1" customFormat="1" ht="14.25" spans="1:11">
      <c r="A5" s="1">
        <v>1</v>
      </c>
      <c r="B5" s="1">
        <v>1001</v>
      </c>
      <c r="C5" s="9" t="s">
        <v>29</v>
      </c>
      <c r="D5" s="1">
        <v>0</v>
      </c>
      <c r="E5" s="8" t="s">
        <v>96</v>
      </c>
      <c r="F5" s="1">
        <v>1</v>
      </c>
      <c r="G5" s="1" t="b">
        <v>0</v>
      </c>
      <c r="H5" s="12">
        <v>20</v>
      </c>
      <c r="I5" s="1">
        <v>80</v>
      </c>
      <c r="J5" s="1" t="b">
        <v>1</v>
      </c>
      <c r="K5" s="1" t="s">
        <v>30</v>
      </c>
    </row>
    <row r="6" s="1" customFormat="1" ht="14.25" spans="1:11">
      <c r="A6" s="1">
        <v>1</v>
      </c>
      <c r="B6" s="1">
        <v>1002</v>
      </c>
      <c r="C6" s="9" t="s">
        <v>31</v>
      </c>
      <c r="D6" s="1">
        <v>0</v>
      </c>
      <c r="E6" s="8" t="s">
        <v>96</v>
      </c>
      <c r="F6" s="1">
        <v>1</v>
      </c>
      <c r="G6" s="1" t="b">
        <v>0</v>
      </c>
      <c r="H6" s="12">
        <v>20</v>
      </c>
      <c r="I6" s="1">
        <v>80</v>
      </c>
      <c r="J6" s="1" t="b">
        <v>1</v>
      </c>
      <c r="K6" s="1" t="s">
        <v>30</v>
      </c>
    </row>
    <row r="7" s="1" customFormat="1" spans="1:11">
      <c r="A7" s="1">
        <v>1</v>
      </c>
      <c r="B7" s="13">
        <v>7001</v>
      </c>
      <c r="C7" s="13" t="s">
        <v>32</v>
      </c>
      <c r="D7" s="1">
        <v>0</v>
      </c>
      <c r="E7" s="13" t="s">
        <v>97</v>
      </c>
      <c r="F7" s="1">
        <v>1</v>
      </c>
      <c r="G7" s="1" t="b">
        <v>0</v>
      </c>
      <c r="H7" s="14">
        <v>80</v>
      </c>
      <c r="I7" s="1">
        <v>160</v>
      </c>
      <c r="J7" s="1" t="b">
        <v>1</v>
      </c>
      <c r="K7" s="1" t="s">
        <v>30</v>
      </c>
    </row>
    <row r="8" s="1" customFormat="1" spans="1:11">
      <c r="A8" s="1">
        <v>1</v>
      </c>
      <c r="B8" s="13">
        <v>7002</v>
      </c>
      <c r="C8" s="13" t="s">
        <v>35</v>
      </c>
      <c r="D8" s="1">
        <v>0</v>
      </c>
      <c r="E8" s="13" t="s">
        <v>98</v>
      </c>
      <c r="F8" s="1">
        <v>1</v>
      </c>
      <c r="G8" s="1" t="b">
        <v>1</v>
      </c>
      <c r="H8" s="14">
        <v>80</v>
      </c>
      <c r="I8" s="1">
        <v>160</v>
      </c>
      <c r="J8" s="1" t="b">
        <v>0</v>
      </c>
      <c r="K8" s="1" t="s">
        <v>30</v>
      </c>
    </row>
    <row r="9" s="1" customFormat="1" spans="1:11">
      <c r="A9" s="1">
        <v>1</v>
      </c>
      <c r="B9" s="13">
        <v>7003</v>
      </c>
      <c r="C9" s="13" t="s">
        <v>37</v>
      </c>
      <c r="D9" s="1">
        <v>0</v>
      </c>
      <c r="E9" s="13" t="s">
        <v>99</v>
      </c>
      <c r="F9" s="1">
        <v>1</v>
      </c>
      <c r="G9" s="1" t="b">
        <v>0</v>
      </c>
      <c r="H9" s="14">
        <v>80</v>
      </c>
      <c r="I9" s="1">
        <v>160</v>
      </c>
      <c r="J9" s="1" t="b">
        <v>1</v>
      </c>
      <c r="K9" s="1" t="s">
        <v>30</v>
      </c>
    </row>
    <row r="10" s="1" customFormat="1" spans="1:11">
      <c r="A10" s="1">
        <v>1</v>
      </c>
      <c r="B10" s="13">
        <v>7006</v>
      </c>
      <c r="C10" s="13" t="s">
        <v>39</v>
      </c>
      <c r="D10" s="1">
        <v>1</v>
      </c>
      <c r="E10" s="13" t="s">
        <v>100</v>
      </c>
      <c r="F10" s="1">
        <v>3</v>
      </c>
      <c r="G10" s="1" t="b">
        <v>0</v>
      </c>
      <c r="H10" s="14">
        <v>80</v>
      </c>
      <c r="I10" s="1">
        <v>160</v>
      </c>
      <c r="J10" s="1" t="b">
        <v>1</v>
      </c>
      <c r="K10" s="1" t="s">
        <v>30</v>
      </c>
    </row>
    <row r="11" s="1" customFormat="1" spans="1:11">
      <c r="A11" s="1">
        <v>1</v>
      </c>
      <c r="B11" s="13">
        <v>7009</v>
      </c>
      <c r="C11" s="13" t="s">
        <v>40</v>
      </c>
      <c r="D11" s="1">
        <v>0</v>
      </c>
      <c r="E11" s="13" t="s">
        <v>101</v>
      </c>
      <c r="F11" s="1">
        <v>3</v>
      </c>
      <c r="G11" s="1" t="b">
        <v>0</v>
      </c>
      <c r="H11" s="14">
        <v>80</v>
      </c>
      <c r="I11" s="1">
        <v>160</v>
      </c>
      <c r="J11" s="1" t="b">
        <v>1</v>
      </c>
      <c r="K11" s="1" t="s">
        <v>30</v>
      </c>
    </row>
    <row r="12" s="1" customFormat="1" spans="1:11">
      <c r="A12" s="1">
        <v>1</v>
      </c>
      <c r="B12" s="13">
        <v>7010</v>
      </c>
      <c r="C12" s="13" t="s">
        <v>41</v>
      </c>
      <c r="D12" s="1">
        <v>0</v>
      </c>
      <c r="E12" s="13" t="s">
        <v>102</v>
      </c>
      <c r="F12" s="1">
        <v>1</v>
      </c>
      <c r="G12" s="1" t="b">
        <v>0</v>
      </c>
      <c r="H12" s="14">
        <v>80</v>
      </c>
      <c r="I12" s="1">
        <v>80</v>
      </c>
      <c r="J12" s="1" t="b">
        <v>0</v>
      </c>
      <c r="K12" s="1" t="s">
        <v>30</v>
      </c>
    </row>
    <row r="13" s="1" customFormat="1" spans="1:11">
      <c r="A13" s="1">
        <v>1</v>
      </c>
      <c r="B13" s="15">
        <v>8001</v>
      </c>
      <c r="C13" s="15" t="s">
        <v>47</v>
      </c>
      <c r="D13" s="1">
        <v>0</v>
      </c>
      <c r="E13" s="15" t="s">
        <v>103</v>
      </c>
      <c r="F13" s="1">
        <v>1</v>
      </c>
      <c r="G13" s="1" t="b">
        <v>0</v>
      </c>
      <c r="H13" s="14">
        <v>80</v>
      </c>
      <c r="I13" s="1">
        <v>160</v>
      </c>
      <c r="J13" s="1" t="b">
        <v>1</v>
      </c>
      <c r="K13" s="1" t="s">
        <v>30</v>
      </c>
    </row>
    <row r="14" s="1" customFormat="1" spans="1:11">
      <c r="A14" s="1">
        <v>1</v>
      </c>
      <c r="B14" s="15">
        <v>8002</v>
      </c>
      <c r="C14" s="15" t="s">
        <v>49</v>
      </c>
      <c r="D14" s="1">
        <v>0</v>
      </c>
      <c r="E14" s="15" t="s">
        <v>104</v>
      </c>
      <c r="F14" s="1">
        <v>1</v>
      </c>
      <c r="G14" s="1" t="b">
        <v>1</v>
      </c>
      <c r="H14" s="14">
        <v>80</v>
      </c>
      <c r="I14" s="1">
        <v>160</v>
      </c>
      <c r="J14" s="1" t="b">
        <v>1</v>
      </c>
      <c r="K14" s="1" t="s">
        <v>30</v>
      </c>
    </row>
    <row r="15" s="1" customFormat="1" spans="1:11">
      <c r="A15" s="1">
        <v>1</v>
      </c>
      <c r="B15" s="15">
        <v>8003</v>
      </c>
      <c r="C15" s="15" t="s">
        <v>51</v>
      </c>
      <c r="D15" s="1">
        <v>0</v>
      </c>
      <c r="E15" s="15" t="s">
        <v>105</v>
      </c>
      <c r="F15" s="1">
        <v>3</v>
      </c>
      <c r="G15" s="1" t="b">
        <v>0</v>
      </c>
      <c r="H15" s="14">
        <v>80</v>
      </c>
      <c r="I15" s="1">
        <v>160</v>
      </c>
      <c r="J15" s="1" t="b">
        <v>0</v>
      </c>
      <c r="K15" s="1" t="s">
        <v>30</v>
      </c>
    </row>
    <row r="16" s="1" customFormat="1" ht="13" customHeight="1" spans="1:11">
      <c r="A16" s="1">
        <v>1</v>
      </c>
      <c r="B16" s="15">
        <v>8004</v>
      </c>
      <c r="C16" s="15" t="s">
        <v>53</v>
      </c>
      <c r="D16" s="1">
        <v>0</v>
      </c>
      <c r="E16" s="15" t="s">
        <v>106</v>
      </c>
      <c r="F16" s="1">
        <v>2</v>
      </c>
      <c r="G16" s="1" t="b">
        <v>0</v>
      </c>
      <c r="H16" s="14">
        <v>80</v>
      </c>
      <c r="I16" s="1">
        <v>160</v>
      </c>
      <c r="J16" s="1" t="b">
        <v>0</v>
      </c>
      <c r="K16" s="1" t="s">
        <v>30</v>
      </c>
    </row>
    <row r="17" s="1" customFormat="1" spans="1:11">
      <c r="A17" s="1">
        <v>1</v>
      </c>
      <c r="B17" s="15">
        <v>8005</v>
      </c>
      <c r="C17" s="15" t="s">
        <v>43</v>
      </c>
      <c r="D17" s="1">
        <v>0</v>
      </c>
      <c r="E17" s="15" t="s">
        <v>107</v>
      </c>
      <c r="F17" s="1">
        <v>2</v>
      </c>
      <c r="G17" s="1" t="b">
        <v>1</v>
      </c>
      <c r="H17" s="14">
        <v>80</v>
      </c>
      <c r="I17" s="1">
        <v>160</v>
      </c>
      <c r="J17" s="1" t="b">
        <v>1</v>
      </c>
      <c r="K17" s="1" t="s">
        <v>30</v>
      </c>
    </row>
    <row r="18" s="1" customFormat="1" spans="1:11">
      <c r="A18" s="1">
        <v>1</v>
      </c>
      <c r="B18" s="15">
        <v>8006</v>
      </c>
      <c r="C18" s="15" t="s">
        <v>45</v>
      </c>
      <c r="D18" s="1">
        <v>0</v>
      </c>
      <c r="E18" s="15" t="s">
        <v>108</v>
      </c>
      <c r="F18" s="1">
        <v>2</v>
      </c>
      <c r="G18" s="1" t="b">
        <v>1</v>
      </c>
      <c r="H18" s="14">
        <v>80</v>
      </c>
      <c r="I18" s="1">
        <v>160</v>
      </c>
      <c r="J18" s="1" t="b">
        <v>1</v>
      </c>
      <c r="K18" s="1" t="s">
        <v>30</v>
      </c>
    </row>
    <row r="19" s="1" customFormat="1" ht="24" spans="1:11">
      <c r="A19" s="1">
        <v>1</v>
      </c>
      <c r="B19" s="15">
        <v>8007</v>
      </c>
      <c r="C19" s="15" t="s">
        <v>55</v>
      </c>
      <c r="D19" s="1">
        <v>0</v>
      </c>
      <c r="E19" s="15" t="s">
        <v>109</v>
      </c>
      <c r="F19" s="1">
        <v>3</v>
      </c>
      <c r="G19" s="1" t="b">
        <v>1</v>
      </c>
      <c r="H19" s="14">
        <v>80</v>
      </c>
      <c r="I19" s="1">
        <v>160</v>
      </c>
      <c r="J19" s="1" t="b">
        <v>1</v>
      </c>
      <c r="K19" s="1" t="s">
        <v>30</v>
      </c>
    </row>
    <row r="20" s="1" customFormat="1" ht="13" customHeight="1" spans="1:11">
      <c r="A20" s="1">
        <v>1</v>
      </c>
      <c r="B20" s="16">
        <v>9001</v>
      </c>
      <c r="C20" s="16" t="s">
        <v>57</v>
      </c>
      <c r="D20" s="1">
        <v>0</v>
      </c>
      <c r="E20" s="16" t="s">
        <v>110</v>
      </c>
      <c r="F20" s="1">
        <v>4</v>
      </c>
      <c r="G20" s="1" t="b">
        <v>0</v>
      </c>
      <c r="H20" s="14">
        <v>80</v>
      </c>
      <c r="I20" s="1">
        <v>160</v>
      </c>
      <c r="J20" s="1" t="b">
        <v>0</v>
      </c>
      <c r="K20" s="1" t="s">
        <v>30</v>
      </c>
    </row>
    <row r="21" s="1" customFormat="1" spans="1:11">
      <c r="A21" s="1">
        <v>1</v>
      </c>
      <c r="B21" s="16">
        <v>9002</v>
      </c>
      <c r="C21" s="16" t="s">
        <v>59</v>
      </c>
      <c r="D21" s="1">
        <v>0</v>
      </c>
      <c r="E21" s="16" t="s">
        <v>111</v>
      </c>
      <c r="F21" s="1">
        <v>4</v>
      </c>
      <c r="G21" s="1" t="b">
        <v>0</v>
      </c>
      <c r="H21" s="14">
        <v>80</v>
      </c>
      <c r="I21" s="1">
        <v>160</v>
      </c>
      <c r="J21" s="1" t="b">
        <v>0</v>
      </c>
      <c r="K21" s="1" t="s">
        <v>30</v>
      </c>
    </row>
    <row r="22" s="1" customFormat="1" spans="1:11">
      <c r="A22" s="1">
        <v>1</v>
      </c>
      <c r="B22" s="17">
        <v>10001</v>
      </c>
      <c r="C22" s="18" t="s">
        <v>61</v>
      </c>
      <c r="D22" s="1">
        <v>3</v>
      </c>
      <c r="E22"/>
      <c r="F22" s="1">
        <v>1</v>
      </c>
      <c r="G22" s="1" t="b">
        <v>1</v>
      </c>
      <c r="H22" s="14">
        <v>80</v>
      </c>
      <c r="I22" s="1">
        <v>80</v>
      </c>
      <c r="J22" s="1" t="b">
        <v>0</v>
      </c>
      <c r="K22" s="1" t="s">
        <v>30</v>
      </c>
    </row>
    <row r="23" s="1" customFormat="1" spans="1:11">
      <c r="A23" s="1">
        <v>1</v>
      </c>
      <c r="B23" s="17">
        <v>10003</v>
      </c>
      <c r="C23" s="19" t="s">
        <v>62</v>
      </c>
      <c r="D23" s="1">
        <v>3</v>
      </c>
      <c r="E23" t="s">
        <v>112</v>
      </c>
      <c r="F23" s="1">
        <v>2</v>
      </c>
      <c r="G23" s="1" t="b">
        <v>1</v>
      </c>
      <c r="H23" s="14">
        <v>80</v>
      </c>
      <c r="I23" s="1">
        <v>80</v>
      </c>
      <c r="J23" s="1" t="b">
        <v>0</v>
      </c>
      <c r="K23" s="1" t="s">
        <v>30</v>
      </c>
    </row>
    <row r="24" s="1" customFormat="1" spans="1:11">
      <c r="A24" s="1">
        <v>1</v>
      </c>
      <c r="B24" s="17">
        <v>10004</v>
      </c>
      <c r="C24" s="19" t="s">
        <v>63</v>
      </c>
      <c r="D24" s="1">
        <v>3</v>
      </c>
      <c r="E24" t="s">
        <v>113</v>
      </c>
      <c r="F24" s="1">
        <v>2</v>
      </c>
      <c r="G24" s="1" t="b">
        <v>1</v>
      </c>
      <c r="H24" s="14">
        <v>80</v>
      </c>
      <c r="I24" s="1">
        <v>80</v>
      </c>
      <c r="J24" s="1" t="b">
        <v>0</v>
      </c>
      <c r="K24" s="1" t="s">
        <v>30</v>
      </c>
    </row>
    <row r="25" s="1" customFormat="1" spans="1:11">
      <c r="A25" s="1">
        <v>1</v>
      </c>
      <c r="B25" s="17">
        <v>10005</v>
      </c>
      <c r="C25" s="19" t="s">
        <v>64</v>
      </c>
      <c r="D25" s="1">
        <v>3</v>
      </c>
      <c r="E25" t="s">
        <v>114</v>
      </c>
      <c r="F25" s="1">
        <v>2</v>
      </c>
      <c r="G25" s="1" t="b">
        <v>1</v>
      </c>
      <c r="H25" s="14">
        <v>80</v>
      </c>
      <c r="I25" s="1">
        <v>80</v>
      </c>
      <c r="J25" s="1" t="b">
        <v>0</v>
      </c>
      <c r="K25" s="1" t="s">
        <v>30</v>
      </c>
    </row>
    <row r="26" s="1" customFormat="1" ht="24" spans="1:11">
      <c r="A26" s="1">
        <v>1</v>
      </c>
      <c r="B26" s="17">
        <v>10006</v>
      </c>
      <c r="C26" s="17" t="s">
        <v>65</v>
      </c>
      <c r="D26" s="1">
        <v>3</v>
      </c>
      <c r="E26" s="17" t="s">
        <v>115</v>
      </c>
      <c r="F26" s="1">
        <v>1</v>
      </c>
      <c r="G26" s="1" t="b">
        <v>0</v>
      </c>
      <c r="H26" s="14">
        <v>80</v>
      </c>
      <c r="I26" s="1">
        <v>80</v>
      </c>
      <c r="J26" s="1" t="b">
        <v>0</v>
      </c>
      <c r="K26" s="1" t="s">
        <v>30</v>
      </c>
    </row>
    <row r="27" s="1" customFormat="1" ht="48" spans="1:11">
      <c r="A27" s="1">
        <v>1</v>
      </c>
      <c r="B27" s="17">
        <v>10007</v>
      </c>
      <c r="C27" s="17" t="s">
        <v>66</v>
      </c>
      <c r="D27" s="1">
        <v>3</v>
      </c>
      <c r="E27" s="17" t="s">
        <v>116</v>
      </c>
      <c r="F27" s="1">
        <v>2</v>
      </c>
      <c r="G27" s="1" t="b">
        <v>0</v>
      </c>
      <c r="H27" s="14">
        <v>80</v>
      </c>
      <c r="I27" s="1">
        <v>80</v>
      </c>
      <c r="J27" s="1" t="b">
        <v>0</v>
      </c>
      <c r="K27" s="1" t="s">
        <v>30</v>
      </c>
    </row>
    <row r="28" s="1" customFormat="1" spans="1:11">
      <c r="A28" s="1">
        <v>1</v>
      </c>
      <c r="B28" s="17">
        <v>10008</v>
      </c>
      <c r="C28" s="17" t="s">
        <v>67</v>
      </c>
      <c r="D28" s="1">
        <v>3</v>
      </c>
      <c r="E28" t="s">
        <v>117</v>
      </c>
      <c r="F28" s="1">
        <v>1</v>
      </c>
      <c r="G28" s="1" t="b">
        <v>0</v>
      </c>
      <c r="H28" s="14">
        <v>80</v>
      </c>
      <c r="I28" s="1">
        <v>80</v>
      </c>
      <c r="J28" s="1" t="b">
        <v>0</v>
      </c>
      <c r="K28" s="1" t="s">
        <v>30</v>
      </c>
    </row>
    <row r="29" s="1" customFormat="1" spans="1:11">
      <c r="A29" s="1">
        <v>1</v>
      </c>
      <c r="B29" s="17">
        <v>10009</v>
      </c>
      <c r="C29" s="18" t="s">
        <v>68</v>
      </c>
      <c r="D29" s="1">
        <v>3</v>
      </c>
      <c r="E29" t="s">
        <v>118</v>
      </c>
      <c r="F29" s="1">
        <v>3</v>
      </c>
      <c r="G29" s="1" t="b">
        <v>0</v>
      </c>
      <c r="H29" s="14">
        <v>80</v>
      </c>
      <c r="I29" s="1">
        <v>80</v>
      </c>
      <c r="J29" s="1" t="b">
        <v>0</v>
      </c>
      <c r="K29" s="1" t="s">
        <v>30</v>
      </c>
    </row>
    <row r="30" spans="1:11">
      <c r="A30" s="1">
        <v>1</v>
      </c>
      <c r="B30" s="17">
        <v>10019</v>
      </c>
      <c r="C30" s="19" t="s">
        <v>69</v>
      </c>
      <c r="D30" s="1">
        <v>3</v>
      </c>
      <c r="E30" t="s">
        <v>119</v>
      </c>
      <c r="F30" s="1">
        <v>1</v>
      </c>
      <c r="G30" s="1" t="b">
        <v>0</v>
      </c>
      <c r="H30" s="14">
        <v>80</v>
      </c>
      <c r="I30" s="1">
        <v>80</v>
      </c>
      <c r="J30" s="1" t="b">
        <v>0</v>
      </c>
      <c r="K30" s="1" t="s">
        <v>30</v>
      </c>
    </row>
    <row r="31" spans="1:11">
      <c r="A31" s="1">
        <v>1</v>
      </c>
      <c r="B31" s="17">
        <v>10020</v>
      </c>
      <c r="C31" s="19" t="s">
        <v>70</v>
      </c>
      <c r="D31" s="1">
        <v>3</v>
      </c>
      <c r="E31" t="s">
        <v>120</v>
      </c>
      <c r="F31" s="1">
        <v>3</v>
      </c>
      <c r="G31" s="1" t="b">
        <v>0</v>
      </c>
      <c r="H31" s="14">
        <v>80</v>
      </c>
      <c r="I31" s="1">
        <v>80</v>
      </c>
      <c r="J31" s="1" t="b">
        <v>0</v>
      </c>
      <c r="K31" s="1" t="s">
        <v>30</v>
      </c>
    </row>
    <row r="32" spans="1:11">
      <c r="A32" s="1">
        <v>1</v>
      </c>
      <c r="B32" s="17">
        <v>10023</v>
      </c>
      <c r="C32" s="18" t="s">
        <v>71</v>
      </c>
      <c r="D32" s="1">
        <v>3</v>
      </c>
      <c r="F32">
        <v>4</v>
      </c>
      <c r="G32" s="1" t="b">
        <v>1</v>
      </c>
      <c r="H32" s="14">
        <v>80</v>
      </c>
      <c r="I32" s="1">
        <v>80</v>
      </c>
      <c r="J32" s="1" t="b">
        <v>0</v>
      </c>
      <c r="K32" s="1" t="s">
        <v>30</v>
      </c>
    </row>
    <row r="33" spans="1:11">
      <c r="A33" s="1">
        <v>1</v>
      </c>
      <c r="B33" s="17">
        <v>10024</v>
      </c>
      <c r="C33" s="18" t="s">
        <v>72</v>
      </c>
      <c r="D33" s="1">
        <v>3</v>
      </c>
      <c r="F33">
        <v>5</v>
      </c>
      <c r="G33" s="1" t="b">
        <v>1</v>
      </c>
      <c r="H33" s="14">
        <v>80</v>
      </c>
      <c r="I33" s="1">
        <v>80</v>
      </c>
      <c r="J33" s="1" t="b">
        <v>0</v>
      </c>
      <c r="K33" s="1" t="s">
        <v>30</v>
      </c>
    </row>
    <row r="34" spans="1:11">
      <c r="A34" s="1">
        <v>1</v>
      </c>
      <c r="B34" s="17">
        <v>10025</v>
      </c>
      <c r="C34" s="17" t="s">
        <v>73</v>
      </c>
      <c r="D34" s="1">
        <v>3</v>
      </c>
      <c r="F34">
        <v>6</v>
      </c>
      <c r="G34" s="1" t="b">
        <v>1</v>
      </c>
      <c r="H34" s="14">
        <v>80</v>
      </c>
      <c r="I34" s="1">
        <v>80</v>
      </c>
      <c r="J34" s="1" t="b">
        <v>0</v>
      </c>
      <c r="K34" s="1" t="s">
        <v>30</v>
      </c>
    </row>
    <row r="35" spans="1:11">
      <c r="A35" s="1">
        <v>1</v>
      </c>
      <c r="B35" s="17">
        <v>10031</v>
      </c>
      <c r="C35" s="17" t="s">
        <v>74</v>
      </c>
      <c r="D35" s="1">
        <v>3</v>
      </c>
      <c r="F35">
        <v>4</v>
      </c>
      <c r="G35" s="1" t="b">
        <v>1</v>
      </c>
      <c r="H35" s="14">
        <v>80</v>
      </c>
      <c r="I35" s="1">
        <v>80</v>
      </c>
      <c r="J35" s="1" t="b">
        <v>0</v>
      </c>
      <c r="K35" s="1" t="s">
        <v>30</v>
      </c>
    </row>
    <row r="36" spans="4:4">
      <c r="D36" s="1"/>
    </row>
  </sheetData>
  <dataValidations count="1">
    <dataValidation type="list" allowBlank="1" showInputMessage="1" showErrorMessage="1" sqref="B4:D4 F4:K4">
      <formula1>数据类型!$B$2:$B$56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D57" sqref="D56:D57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3" t="s">
        <v>121</v>
      </c>
      <c r="B1" s="3" t="s">
        <v>122</v>
      </c>
      <c r="C1" s="3" t="s">
        <v>123</v>
      </c>
      <c r="D1" s="3" t="s">
        <v>124</v>
      </c>
      <c r="E1" s="3" t="s">
        <v>125</v>
      </c>
    </row>
    <row r="2" spans="1:5">
      <c r="A2" s="4">
        <v>1</v>
      </c>
      <c r="B2" s="4" t="s">
        <v>28</v>
      </c>
      <c r="C2" s="4" t="s">
        <v>126</v>
      </c>
      <c r="D2" s="4" t="s">
        <v>127</v>
      </c>
      <c r="E2" s="4" t="s">
        <v>128</v>
      </c>
    </row>
    <row r="3" spans="1:5">
      <c r="A3" s="4">
        <v>2</v>
      </c>
      <c r="B3" s="4" t="s">
        <v>129</v>
      </c>
      <c r="C3" s="4" t="s">
        <v>130</v>
      </c>
      <c r="D3" s="4" t="s">
        <v>131</v>
      </c>
      <c r="E3" s="4" t="s">
        <v>132</v>
      </c>
    </row>
    <row r="4" spans="1:5">
      <c r="A4" s="4">
        <v>3</v>
      </c>
      <c r="B4" s="4" t="s">
        <v>23</v>
      </c>
      <c r="C4" s="4" t="s">
        <v>130</v>
      </c>
      <c r="D4" s="4" t="s">
        <v>133</v>
      </c>
      <c r="E4" s="4" t="s">
        <v>134</v>
      </c>
    </row>
    <row r="5" spans="1:5">
      <c r="A5" s="4">
        <v>4</v>
      </c>
      <c r="B5" s="4" t="s">
        <v>135</v>
      </c>
      <c r="C5" s="4" t="s">
        <v>130</v>
      </c>
      <c r="D5" s="4" t="s">
        <v>136</v>
      </c>
      <c r="E5" s="4" t="s">
        <v>137</v>
      </c>
    </row>
    <row r="6" spans="1:5">
      <c r="A6" s="4">
        <v>5</v>
      </c>
      <c r="B6" s="4" t="s">
        <v>95</v>
      </c>
      <c r="C6" s="4" t="s">
        <v>130</v>
      </c>
      <c r="D6" s="4" t="s">
        <v>138</v>
      </c>
      <c r="E6" s="4" t="s">
        <v>139</v>
      </c>
    </row>
    <row r="7" spans="1:5">
      <c r="A7" s="4">
        <v>6</v>
      </c>
      <c r="B7" s="4" t="s">
        <v>24</v>
      </c>
      <c r="C7" s="4"/>
      <c r="D7" s="4" t="s">
        <v>140</v>
      </c>
      <c r="E7" s="4" t="s">
        <v>141</v>
      </c>
    </row>
    <row r="8" spans="1:5">
      <c r="A8" s="4">
        <v>7</v>
      </c>
      <c r="B8" s="4" t="s">
        <v>142</v>
      </c>
      <c r="C8" s="4" t="s">
        <v>143</v>
      </c>
      <c r="D8" s="4" t="s">
        <v>144</v>
      </c>
      <c r="E8" s="4" t="s">
        <v>145</v>
      </c>
    </row>
    <row r="9" spans="1:5">
      <c r="A9" s="4">
        <v>8</v>
      </c>
      <c r="B9" s="4" t="s">
        <v>146</v>
      </c>
      <c r="C9" s="4" t="s">
        <v>143</v>
      </c>
      <c r="D9" s="4" t="s">
        <v>147</v>
      </c>
      <c r="E9" s="4" t="s">
        <v>148</v>
      </c>
    </row>
    <row r="10" spans="1:5">
      <c r="A10" s="4">
        <v>9</v>
      </c>
      <c r="B10" s="4" t="s">
        <v>25</v>
      </c>
      <c r="C10" s="4" t="s">
        <v>143</v>
      </c>
      <c r="D10" s="4" t="s">
        <v>149</v>
      </c>
      <c r="E10" s="4" t="s">
        <v>150</v>
      </c>
    </row>
    <row r="11" spans="1:5">
      <c r="A11" s="4">
        <v>10</v>
      </c>
      <c r="B11" s="4" t="s">
        <v>151</v>
      </c>
      <c r="C11" s="4" t="s">
        <v>143</v>
      </c>
      <c r="D11" s="4" t="s">
        <v>152</v>
      </c>
      <c r="E11" s="4" t="s">
        <v>153</v>
      </c>
    </row>
    <row r="12" spans="1:5">
      <c r="A12" s="4">
        <v>11</v>
      </c>
      <c r="B12" s="4" t="s">
        <v>154</v>
      </c>
      <c r="C12" s="4" t="s">
        <v>143</v>
      </c>
      <c r="D12" s="4" t="s">
        <v>155</v>
      </c>
      <c r="E12" s="4" t="s">
        <v>156</v>
      </c>
    </row>
    <row r="13" spans="1:4">
      <c r="A13" s="4">
        <v>12</v>
      </c>
      <c r="B13" s="4" t="s">
        <v>157</v>
      </c>
      <c r="C13" s="4" t="s">
        <v>143</v>
      </c>
      <c r="D13" s="4" t="s">
        <v>158</v>
      </c>
    </row>
    <row r="14" spans="1:3">
      <c r="A14" s="4">
        <v>13</v>
      </c>
      <c r="B14" s="4" t="s">
        <v>159</v>
      </c>
      <c r="C14" s="4" t="s">
        <v>160</v>
      </c>
    </row>
    <row r="15" spans="1:3">
      <c r="A15" s="4">
        <v>14</v>
      </c>
      <c r="B15" s="4" t="s">
        <v>161</v>
      </c>
      <c r="C15" s="4" t="s">
        <v>160</v>
      </c>
    </row>
    <row r="16" spans="1:3">
      <c r="A16" s="4">
        <v>15</v>
      </c>
      <c r="B16" s="4" t="s">
        <v>162</v>
      </c>
      <c r="C16" s="4" t="s">
        <v>160</v>
      </c>
    </row>
    <row r="17" spans="1:3">
      <c r="A17" s="4">
        <v>16</v>
      </c>
      <c r="B17" s="4" t="s">
        <v>163</v>
      </c>
      <c r="C17" s="4" t="s">
        <v>160</v>
      </c>
    </row>
    <row r="18" spans="1:3">
      <c r="A18" s="4">
        <v>17</v>
      </c>
      <c r="B18" s="4" t="s">
        <v>164</v>
      </c>
      <c r="C18" s="4" t="s">
        <v>160</v>
      </c>
    </row>
    <row r="19" spans="1:3">
      <c r="A19" s="4">
        <v>18</v>
      </c>
      <c r="B19" s="4" t="s">
        <v>165</v>
      </c>
      <c r="C19" s="4" t="s">
        <v>160</v>
      </c>
    </row>
    <row r="20" spans="1:3">
      <c r="A20" s="4">
        <v>19</v>
      </c>
      <c r="B20" s="4" t="s">
        <v>166</v>
      </c>
      <c r="C20" s="4" t="s">
        <v>143</v>
      </c>
    </row>
    <row r="21" spans="1:3">
      <c r="A21" s="4">
        <v>20</v>
      </c>
      <c r="B21" s="4" t="s">
        <v>167</v>
      </c>
      <c r="C21" s="4" t="s">
        <v>143</v>
      </c>
    </row>
    <row r="22" spans="1:3">
      <c r="A22" s="4">
        <v>21</v>
      </c>
      <c r="B22" s="4" t="s">
        <v>94</v>
      </c>
      <c r="C22" s="4" t="s">
        <v>143</v>
      </c>
    </row>
    <row r="23" spans="1:3">
      <c r="A23" s="4">
        <v>22</v>
      </c>
      <c r="B23" s="4" t="s">
        <v>168</v>
      </c>
      <c r="C23" s="4" t="s">
        <v>143</v>
      </c>
    </row>
    <row r="24" spans="1:3">
      <c r="A24" s="4">
        <v>23</v>
      </c>
      <c r="B24" s="4" t="s">
        <v>169</v>
      </c>
      <c r="C24" s="4" t="s">
        <v>143</v>
      </c>
    </row>
    <row r="25" spans="1:3">
      <c r="A25" s="4">
        <v>24</v>
      </c>
      <c r="B25" s="4" t="s">
        <v>170</v>
      </c>
      <c r="C25" s="4" t="s">
        <v>143</v>
      </c>
    </row>
    <row r="26" spans="1:5">
      <c r="A26" s="4">
        <v>25</v>
      </c>
      <c r="B26" s="4" t="s">
        <v>171</v>
      </c>
      <c r="C26" s="4" t="s">
        <v>172</v>
      </c>
      <c r="D26" s="4" t="s">
        <v>173</v>
      </c>
      <c r="E26" s="4" t="s">
        <v>174</v>
      </c>
    </row>
    <row r="27" spans="1:5">
      <c r="A27" s="4">
        <v>26</v>
      </c>
      <c r="B27" s="4" t="s">
        <v>27</v>
      </c>
      <c r="C27" s="4" t="s">
        <v>175</v>
      </c>
      <c r="D27" s="4" t="s">
        <v>176</v>
      </c>
      <c r="E27" s="4" t="s">
        <v>177</v>
      </c>
    </row>
    <row r="28" spans="1:5">
      <c r="A28" s="4">
        <v>27</v>
      </c>
      <c r="B28" s="4" t="s">
        <v>178</v>
      </c>
      <c r="C28" s="4" t="s">
        <v>143</v>
      </c>
      <c r="D28" s="4" t="s">
        <v>179</v>
      </c>
      <c r="E28" s="4" t="s">
        <v>34</v>
      </c>
    </row>
    <row r="29" spans="1:5">
      <c r="A29" s="4">
        <v>28</v>
      </c>
      <c r="B29" s="4" t="s">
        <v>180</v>
      </c>
      <c r="C29" s="4" t="s">
        <v>143</v>
      </c>
      <c r="D29" s="4" t="s">
        <v>181</v>
      </c>
      <c r="E29" s="4" t="s">
        <v>182</v>
      </c>
    </row>
    <row r="30" spans="1:4">
      <c r="A30" s="4">
        <v>29</v>
      </c>
      <c r="B30" s="4" t="s">
        <v>26</v>
      </c>
      <c r="C30" s="4" t="s">
        <v>183</v>
      </c>
      <c r="D30" s="4" t="s">
        <v>184</v>
      </c>
    </row>
    <row r="31" spans="1:5">
      <c r="A31" s="4">
        <v>30</v>
      </c>
      <c r="B31" s="4" t="s">
        <v>185</v>
      </c>
      <c r="C31" s="4" t="s">
        <v>175</v>
      </c>
      <c r="D31" s="4" t="s">
        <v>186</v>
      </c>
      <c r="E31" s="4" t="s">
        <v>187</v>
      </c>
    </row>
    <row r="32" spans="1:5">
      <c r="A32" s="4">
        <v>31</v>
      </c>
      <c r="B32" s="4" t="s">
        <v>188</v>
      </c>
      <c r="C32" s="4" t="s">
        <v>130</v>
      </c>
      <c r="D32" s="4" t="s">
        <v>189</v>
      </c>
      <c r="E32" s="4" t="s">
        <v>190</v>
      </c>
    </row>
    <row r="33" spans="1:5">
      <c r="A33" s="4">
        <v>32</v>
      </c>
      <c r="B33" s="4" t="s">
        <v>191</v>
      </c>
      <c r="C33" s="4" t="s">
        <v>192</v>
      </c>
      <c r="D33" s="4" t="s">
        <v>193</v>
      </c>
      <c r="E33" s="4" t="s">
        <v>192</v>
      </c>
    </row>
    <row r="34" spans="1:5">
      <c r="A34" s="4">
        <v>33</v>
      </c>
      <c r="B34" s="4" t="s">
        <v>194</v>
      </c>
      <c r="C34" s="4" t="s">
        <v>195</v>
      </c>
      <c r="D34" s="4" t="s">
        <v>196</v>
      </c>
      <c r="E34" s="4" t="s">
        <v>195</v>
      </c>
    </row>
    <row r="35" spans="1:5">
      <c r="A35" s="4">
        <v>34</v>
      </c>
      <c r="B35" s="4" t="s">
        <v>197</v>
      </c>
      <c r="C35" s="4" t="s">
        <v>143</v>
      </c>
      <c r="D35" s="4" t="s">
        <v>198</v>
      </c>
      <c r="E35" s="4" t="s">
        <v>187</v>
      </c>
    </row>
    <row r="36" spans="1:5">
      <c r="A36" s="4">
        <v>35</v>
      </c>
      <c r="B36" s="4" t="s">
        <v>199</v>
      </c>
      <c r="C36" s="4"/>
      <c r="D36" s="4" t="s">
        <v>200</v>
      </c>
      <c r="E36" s="4" t="s">
        <v>201</v>
      </c>
    </row>
    <row r="37" spans="1:4">
      <c r="A37" s="4">
        <v>36</v>
      </c>
      <c r="B37" s="4" t="s">
        <v>202</v>
      </c>
      <c r="C37" s="4"/>
      <c r="D37" s="4" t="s">
        <v>203</v>
      </c>
    </row>
    <row r="38" spans="1:5">
      <c r="A38" s="4">
        <v>37</v>
      </c>
      <c r="B38" s="4" t="s">
        <v>204</v>
      </c>
      <c r="C38" s="4" t="s">
        <v>143</v>
      </c>
      <c r="D38" s="4" t="s">
        <v>205</v>
      </c>
      <c r="E38" s="4" t="s">
        <v>206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130" zoomScaleNormal="130" workbookViewId="0">
      <selection activeCell="E21" sqref="E21"/>
    </sheetView>
  </sheetViews>
  <sheetFormatPr defaultColWidth="9" defaultRowHeight="13.5"/>
  <cols>
    <col min="1" max="9" width="17.25" customWidth="1"/>
  </cols>
  <sheetData>
    <row r="1" ht="119" customHeight="1" spans="1:10">
      <c r="A1" s="2" t="s">
        <v>75</v>
      </c>
      <c r="B1" s="2" t="s">
        <v>207</v>
      </c>
      <c r="C1" s="2" t="s">
        <v>208</v>
      </c>
      <c r="D1" s="2" t="s">
        <v>209</v>
      </c>
      <c r="E1" s="2" t="s">
        <v>210</v>
      </c>
      <c r="F1" s="2" t="s">
        <v>211</v>
      </c>
      <c r="G1" s="2" t="s">
        <v>212</v>
      </c>
      <c r="H1" s="2" t="s">
        <v>213</v>
      </c>
      <c r="I1" s="2" t="s">
        <v>214</v>
      </c>
      <c r="J1" s="2" t="s">
        <v>215</v>
      </c>
    </row>
    <row r="2" spans="1:10">
      <c r="A2" s="2" t="s">
        <v>11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</row>
    <row r="3" spans="1:10">
      <c r="A3" s="2" t="s">
        <v>12</v>
      </c>
      <c r="B3" s="2"/>
      <c r="C3" s="2" t="s">
        <v>216</v>
      </c>
      <c r="D3" s="2"/>
      <c r="E3" s="2"/>
      <c r="F3" s="2"/>
      <c r="G3" s="2"/>
      <c r="H3" s="2"/>
      <c r="I3" s="2"/>
      <c r="J3" s="2"/>
    </row>
    <row r="4" spans="1:10">
      <c r="A4" s="2" t="s">
        <v>22</v>
      </c>
      <c r="B4" s="2" t="s">
        <v>23</v>
      </c>
      <c r="C4" s="2" t="s">
        <v>24</v>
      </c>
      <c r="D4" s="2" t="s">
        <v>28</v>
      </c>
      <c r="E4" s="2" t="s">
        <v>28</v>
      </c>
      <c r="F4" s="2" t="s">
        <v>28</v>
      </c>
      <c r="G4" s="2" t="s">
        <v>28</v>
      </c>
      <c r="H4" s="2" t="s">
        <v>28</v>
      </c>
      <c r="I4" s="2" t="s">
        <v>28</v>
      </c>
      <c r="J4" s="2" t="s">
        <v>28</v>
      </c>
    </row>
    <row r="5" s="1" customFormat="1" spans="1:10">
      <c r="A5" s="2">
        <v>0</v>
      </c>
      <c r="B5" s="2">
        <v>1</v>
      </c>
      <c r="C5" s="2" t="s">
        <v>217</v>
      </c>
      <c r="D5" s="2" t="b">
        <v>1</v>
      </c>
      <c r="E5" s="2" t="b">
        <v>0</v>
      </c>
      <c r="F5" s="2" t="b">
        <v>0</v>
      </c>
      <c r="G5" s="2" t="b">
        <v>1</v>
      </c>
      <c r="H5" s="2" t="b">
        <v>0</v>
      </c>
      <c r="I5" s="2" t="b">
        <v>0</v>
      </c>
      <c r="J5" s="2" t="b">
        <v>0</v>
      </c>
    </row>
    <row r="6" s="1" customFormat="1" spans="1:10">
      <c r="A6" s="2">
        <v>0</v>
      </c>
      <c r="B6" s="2">
        <v>2</v>
      </c>
      <c r="C6" s="2" t="s">
        <v>218</v>
      </c>
      <c r="D6" s="2" t="b">
        <v>1</v>
      </c>
      <c r="E6" s="2" t="b">
        <v>1</v>
      </c>
      <c r="F6" s="2" t="b">
        <v>0</v>
      </c>
      <c r="G6" s="2" t="b">
        <v>1</v>
      </c>
      <c r="H6" s="2" t="b">
        <v>0</v>
      </c>
      <c r="I6" s="2" t="b">
        <v>0</v>
      </c>
      <c r="J6" s="2" t="b">
        <v>0</v>
      </c>
    </row>
    <row r="7" spans="1:10">
      <c r="A7" s="2">
        <v>0</v>
      </c>
      <c r="B7" s="2">
        <v>3</v>
      </c>
      <c r="C7" s="2" t="s">
        <v>219</v>
      </c>
      <c r="D7" s="2" t="b">
        <v>1</v>
      </c>
      <c r="E7" s="2" t="b">
        <v>0</v>
      </c>
      <c r="F7" s="2" t="b">
        <v>1</v>
      </c>
      <c r="G7" s="2" t="b">
        <v>1</v>
      </c>
      <c r="H7" s="2" t="b">
        <v>0</v>
      </c>
      <c r="I7" s="2" t="b">
        <v>0</v>
      </c>
      <c r="J7" s="2" t="b">
        <v>0</v>
      </c>
    </row>
    <row r="8" spans="1:10">
      <c r="A8" s="2">
        <v>0</v>
      </c>
      <c r="B8" s="2">
        <v>4</v>
      </c>
      <c r="C8" s="2" t="s">
        <v>220</v>
      </c>
      <c r="D8" s="2" t="b">
        <v>1</v>
      </c>
      <c r="E8" s="2" t="b">
        <v>1</v>
      </c>
      <c r="F8" s="2" t="b">
        <v>1</v>
      </c>
      <c r="G8" s="2" t="b">
        <v>1</v>
      </c>
      <c r="H8" s="2" t="b">
        <v>1</v>
      </c>
      <c r="I8" s="2" t="b">
        <v>1</v>
      </c>
      <c r="J8" s="2" t="b">
        <v>1</v>
      </c>
    </row>
    <row r="9" spans="1:10">
      <c r="A9" s="2">
        <v>0</v>
      </c>
      <c r="B9" s="2">
        <v>5</v>
      </c>
      <c r="C9" s="2" t="s">
        <v>221</v>
      </c>
      <c r="D9" s="2" t="b">
        <v>1</v>
      </c>
      <c r="E9" s="2" t="b">
        <v>0</v>
      </c>
      <c r="F9" s="2" t="b">
        <v>0</v>
      </c>
      <c r="G9" s="2" t="b">
        <v>1</v>
      </c>
      <c r="H9" s="2" t="b">
        <v>0</v>
      </c>
      <c r="I9" s="2" t="b">
        <v>1</v>
      </c>
      <c r="J9" s="2" t="b">
        <v>0</v>
      </c>
    </row>
    <row r="10" spans="1:10">
      <c r="A10" s="2">
        <v>0</v>
      </c>
      <c r="B10" s="2">
        <v>6</v>
      </c>
      <c r="C10" s="2" t="s">
        <v>222</v>
      </c>
      <c r="D10" s="2" t="b">
        <v>1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0</v>
      </c>
      <c r="J10" s="2" t="b">
        <v>0</v>
      </c>
    </row>
    <row r="11" spans="1:10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  <c r="J16" s="2"/>
    </row>
  </sheetData>
  <dataValidations count="1">
    <dataValidation type="list" allowBlank="1" showInputMessage="1" showErrorMessage="1" sqref="B4:J4">
      <formula1>数据类型!$B$2:$B$56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cfg_UnitData_单位基础表</vt:lpstr>
      <vt:lpstr>cfg_UnitLogic_单位逻辑表</vt:lpstr>
      <vt:lpstr>数据类型</vt:lpstr>
      <vt:lpstr>单位类型运动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企业用户_679568696</cp:lastModifiedBy>
  <dcterms:created xsi:type="dcterms:W3CDTF">2023-05-12T11:15:00Z</dcterms:created>
  <dcterms:modified xsi:type="dcterms:W3CDTF">2025-11-01T13:29:40Z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EAB0E59D0FDF44CF82D480CC6A5EB29A_12</vt:lpwstr>
  </property>
</Properties>
</file>