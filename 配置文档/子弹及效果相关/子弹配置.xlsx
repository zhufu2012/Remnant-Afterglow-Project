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655" firstSheet="2"/>
  </bookViews>
  <sheets>
    <sheet name="cfg_BulletData_子弹基础数据表" sheetId="3" r:id="rId1"/>
    <sheet name="cfg_BulletLogic_实体子弹逻辑表" sheetId="1" r:id="rId2"/>
    <sheet name="cfg_LaserBulletLogic_激光子弹逻辑表" sheetId="4" r:id="rId3"/>
    <sheet name="数据类型" sheetId="2" r:id="rId4"/>
  </sheets>
  <definedNames>
    <definedName name="ExternalData_1" localSheetId="3">数据类型!#REF!</definedName>
    <definedName name="数据类型_Sheet1" localSheetId="3">数据类型!#REF!</definedName>
    <definedName name="连接" localSheetId="3">数据类型!$A$1:$E$38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4" name="ID_14D2BE26A4E143FC9BECBA0FA0A2EB01" descr="光子炮弹d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6317595" y="3042285"/>
          <a:ext cx="95250" cy="97790"/>
        </a:xfrm>
        <a:prstGeom prst="rect">
          <a:avLst/>
        </a:prstGeom>
      </xdr:spPr>
    </xdr:pic>
  </etc:cellImage>
  <etc:cellImage>
    <xdr:pic>
      <xdr:nvPicPr>
        <xdr:cNvPr id="8" name="ID_96CCA1A64A814293A19F6B84170B633F" descr="射线炮塔弹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8315940" y="1613535"/>
          <a:ext cx="200025" cy="37465"/>
        </a:xfrm>
        <a:prstGeom prst="rect">
          <a:avLst/>
        </a:prstGeom>
      </xdr:spPr>
    </xdr:pic>
  </etc:cellImage>
  <etc:cellImage>
    <xdr:pic>
      <xdr:nvPicPr>
        <xdr:cNvPr id="6" name="ID_9D9BB6A07F5243DCB9AC9FBC638EA735" descr="火焰1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8434685" y="4159250"/>
          <a:ext cx="381000" cy="383540"/>
        </a:xfrm>
        <a:prstGeom prst="rect">
          <a:avLst/>
        </a:prstGeom>
      </xdr:spPr>
    </xdr:pic>
  </etc:cellImage>
  <etc:cellImage>
    <xdr:pic>
      <xdr:nvPicPr>
        <xdr:cNvPr id="2" name="ID_FF7E28104CED49C5B8A6A806119BEA02" descr="小透明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8478500" y="5247640"/>
          <a:ext cx="9525" cy="10160"/>
        </a:xfrm>
        <a:prstGeom prst="rect">
          <a:avLst/>
        </a:prstGeom>
      </xdr:spPr>
    </xdr:pic>
  </etc:cellImage>
  <etc:cellImage>
    <xdr:pic>
      <xdr:nvPicPr>
        <xdr:cNvPr id="11" name="ID_77CA5B8C9EB64A64B923FFA07F70927A" descr="射线炮塔弹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8084165" y="6021705"/>
          <a:ext cx="761365" cy="105410"/>
        </a:xfrm>
        <a:prstGeom prst="rect">
          <a:avLst/>
        </a:prstGeom>
      </xdr:spPr>
    </xdr:pic>
  </etc:cellImage>
  <etc:cellImage>
    <xdr:pic>
      <xdr:nvPicPr>
        <xdr:cNvPr id="5" name="ID_6498193AC743454BB48E8D8289A8DBE2" descr="机枪子弹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7350740" y="8354060"/>
          <a:ext cx="381000" cy="48260"/>
        </a:xfrm>
        <a:prstGeom prst="rect">
          <a:avLst/>
        </a:prstGeom>
      </xdr:spPr>
    </xdr:pic>
  </etc:cellImage>
  <etc:cellImage>
    <xdr:pic>
      <xdr:nvPicPr>
        <xdr:cNvPr id="7" name="ID_ACEF8F5720F34F7D9873B4818BE71831" descr="射线炮塔弹3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8178145" y="3689350"/>
          <a:ext cx="857250" cy="141605"/>
        </a:xfrm>
        <a:prstGeom prst="rect">
          <a:avLst/>
        </a:prstGeom>
      </xdr:spPr>
    </xdr:pic>
  </etc:cellImage>
</etc:cellImages>
</file>

<file path=xl/connections.xml><?xml version="1.0" encoding="utf-8"?>
<connections xmlns="http://schemas.openxmlformats.org/spreadsheetml/2006/main">
  <connection id="1" odcFile="F:\Remnant Afterglow Project\工具\基础配置\数据类型.accdb 数据类型.odc" name="连接" type="1" refreshOnLoad="1" background="1" refreshedVersion="2" saveData="1">
    <dbPr connection="DSN=MS Access Database;DBQ=F:\REMNANT AFTERGLOW PROJECT\工具\基础配置\数据类型.accdb;DefaultDir=F:\REMNANT AFTERGLOW PROJECT\工具\基础配置;DriverId=25;FIL=MS Access;MaxBufferSize=2048;PageTimeout=5;" command="SELECT * FROM `数据类型`  ORDER BY `数据类型编号` ASC" commandType="2"/>
  </connection>
</connections>
</file>

<file path=xl/sharedStrings.xml><?xml version="1.0" encoding="utf-8"?>
<sst xmlns="http://schemas.openxmlformats.org/spreadsheetml/2006/main" count="317" uniqueCount="186">
  <si>
    <t>该表用于配置
子弹基础数据
默认实体类型0
字段导出设置</t>
  </si>
  <si>
    <t>子弹Id</t>
  </si>
  <si>
    <t>子弹类型 
1 实体子弹
2 抛射体子弹
3 激光子弹</t>
  </si>
  <si>
    <t>子弹标签
是子弹运行轨迹脚本中子弹label的名称</t>
  </si>
  <si>
    <t>子弹运行轨迹脚本名称
BulletML脚本名称
根路径\data\config\bullet\</t>
  </si>
  <si>
    <t>子弹碰撞体id</t>
  </si>
  <si>
    <t>命中音效id
不写表示无音效</t>
  </si>
  <si>
    <t>子弹图层</t>
  </si>
  <si>
    <t>是否中心对称</t>
  </si>
  <si>
    <t>子弹图</t>
  </si>
  <si>
    <t>动画类型列表
cfg_AnimaExplode_子弹动画id列表</t>
  </si>
  <si>
    <t>字段导出设置</t>
  </si>
  <si>
    <t>字段名称</t>
  </si>
  <si>
    <t>BulletId</t>
  </si>
  <si>
    <t>SceneType</t>
  </si>
  <si>
    <t>BulletLabel</t>
  </si>
  <si>
    <t>Logic</t>
  </si>
  <si>
    <t>CollideId</t>
  </si>
  <si>
    <t>SoundId</t>
  </si>
  <si>
    <t>ZIndex</t>
  </si>
  <si>
    <t>IsCenter</t>
  </si>
  <si>
    <t>BulletPng</t>
  </si>
  <si>
    <t>AnimaTypeList</t>
  </si>
  <si>
    <t>数据类型</t>
  </si>
  <si>
    <t>INT</t>
  </si>
  <si>
    <t>STR</t>
  </si>
  <si>
    <t>BOOL</t>
  </si>
  <si>
    <t>PNG</t>
  </si>
  <si>
    <t>&lt;INT&gt;</t>
  </si>
  <si>
    <t>add2way</t>
  </si>
  <si>
    <t>ce1.xml</t>
  </si>
  <si>
    <t>hmgLsr</t>
  </si>
  <si>
    <t>A.xml</t>
  </si>
  <si>
    <t>fastBullet</t>
  </si>
  <si>
    <t>B.xml</t>
  </si>
  <si>
    <t>fastBullet2</t>
  </si>
  <si>
    <t>迫击炮塔的炮弹</t>
  </si>
  <si>
    <t>C.xml</t>
  </si>
  <si>
    <t>激光塔弹药</t>
  </si>
  <si>
    <t>喷火塔子弹</t>
  </si>
  <si>
    <t>喷火塔子弹.xml</t>
  </si>
  <si>
    <t>散弹塔子弹</t>
  </si>
  <si>
    <t>散弹塔子弹.xml</t>
  </si>
  <si>
    <t>狙击塔子弹</t>
  </si>
  <si>
    <t>狙击塔子弹.xml</t>
  </si>
  <si>
    <t>201101</t>
  </si>
  <si>
    <t>战术地刺LV1</t>
  </si>
  <si>
    <t>原地爆炸的子弹.xml</t>
  </si>
  <si>
    <t>透明的图片，不是没有</t>
  </si>
  <si>
    <t>战术地刺LV2</t>
  </si>
  <si>
    <t>战术地刺LV3</t>
  </si>
  <si>
    <t>镇压塔</t>
  </si>
  <si>
    <t>镇压塔子弹.xml</t>
  </si>
  <si>
    <t>机枪塔1</t>
  </si>
  <si>
    <t>机枪塔子弹.xml</t>
  </si>
  <si>
    <t>机枪塔2</t>
  </si>
  <si>
    <t>机枪塔3</t>
  </si>
  <si>
    <t>实体 子弹id</t>
  </si>
  <si>
    <t>子弹标签
也是子弹脚本中子弹label的名称</t>
  </si>
  <si>
    <t>子弹名称</t>
  </si>
  <si>
    <t>对护盾伤害</t>
  </si>
  <si>
    <t>对装甲伤害</t>
  </si>
  <si>
    <t xml:space="preserve">对结构伤害
</t>
  </si>
  <si>
    <t>穿透伤害
直接对结构造成杀伤</t>
  </si>
  <si>
    <t>击中添加buffId列表
(buffId,添加层数)</t>
  </si>
  <si>
    <t>击中运行事件id列表</t>
  </si>
  <si>
    <t xml:space="preserve">子弹最大存在时间，
单位：秒
</t>
  </si>
  <si>
    <t>子弹最大飞行距离</t>
  </si>
  <si>
    <t>反弹次数</t>
  </si>
  <si>
    <t>子弹穿透次数</t>
  </si>
  <si>
    <t>BulletName</t>
  </si>
  <si>
    <t>#ShieldHarm</t>
  </si>
  <si>
    <t>#ArmourHarm</t>
  </si>
  <si>
    <t>#StructureHarm</t>
  </si>
  <si>
    <t>#ElementHarm</t>
  </si>
  <si>
    <t>#AddBuffList</t>
  </si>
  <si>
    <t>#HitEvent</t>
  </si>
  <si>
    <t>MaxLifeTime</t>
  </si>
  <si>
    <t>MaxDistance</t>
  </si>
  <si>
    <t>BounceCount</t>
  </si>
  <si>
    <t>Penetration</t>
  </si>
  <si>
    <t>&lt;(INT)&gt;</t>
  </si>
  <si>
    <t>FLOAT</t>
  </si>
  <si>
    <t>测试子弹</t>
  </si>
  <si>
    <t>射击塔弹药</t>
  </si>
  <si>
    <t>(1,2)</t>
  </si>
  <si>
    <t>狙击塔子弹1</t>
  </si>
  <si>
    <t>狙击塔子弹2</t>
  </si>
  <si>
    <t>狙击塔子弹3</t>
  </si>
  <si>
    <t>原地爆炸的子弹</t>
  </si>
  <si>
    <t>镇压塔子弹</t>
  </si>
  <si>
    <t>小型速射炮</t>
  </si>
  <si>
    <t>敌人通用子弹</t>
  </si>
  <si>
    <t>标准脉冲激光炮</t>
  </si>
  <si>
    <t>激光Id</t>
  </si>
  <si>
    <t>激光名称</t>
  </si>
  <si>
    <t>激光每多少帧
造成一次效果</t>
  </si>
  <si>
    <t>LaserId</t>
  </si>
  <si>
    <t>#Frame</t>
  </si>
  <si>
    <t>数据类型编号</t>
  </si>
  <si>
    <t>数据类型名称</t>
  </si>
  <si>
    <t>默认值</t>
  </si>
  <si>
    <t>数据类型描述</t>
  </si>
  <si>
    <t>数据类型示例</t>
  </si>
  <si>
    <t>True</t>
  </si>
  <si>
    <t>布尔值，用于表示 是或者否，True为是，False为否</t>
  </si>
  <si>
    <t>True       False</t>
  </si>
  <si>
    <t>SHORT</t>
  </si>
  <si>
    <t>0</t>
  </si>
  <si>
    <t>短整数类型，用于表示一些比较小的整数 -32768 到 32767，少用</t>
  </si>
  <si>
    <t>11112      -21232</t>
  </si>
  <si>
    <t>整数类型，适合在大多数时候用于保存配置id，-2147483648到2147483647</t>
  </si>
  <si>
    <t>1212312321</t>
  </si>
  <si>
    <t>LONG</t>
  </si>
  <si>
    <t>长整数类型，用于保存大的整数，-9223372036854775808到9223372036854775807</t>
  </si>
  <si>
    <t>52122122111111</t>
  </si>
  <si>
    <t>单精度浮点型，整数部分范围很大，小数部分，float的精度为6~7位有效数字，绝对能保证6位小数正常</t>
  </si>
  <si>
    <t>554.1233  622125.1231</t>
  </si>
  <si>
    <t>字符串，用于保存如介绍，描述等文本，通常不必担心长度</t>
  </si>
  <si>
    <t>你好</t>
  </si>
  <si>
    <t>&lt;BOOL&gt;</t>
  </si>
  <si>
    <t>[]</t>
  </si>
  <si>
    <t>布尔值列表，用于保存一个由布尔值组成的列表</t>
  </si>
  <si>
    <t>True|True|False</t>
  </si>
  <si>
    <t>&lt;SHORT&gt;</t>
  </si>
  <si>
    <t>短整数列表，用于保存一个由短整数组成的列表</t>
  </si>
  <si>
    <t>123|121|434|-121</t>
  </si>
  <si>
    <t>整数列表，用于保存一个由整数组成的列表</t>
  </si>
  <si>
    <t>2323232|1212|2343|545</t>
  </si>
  <si>
    <t>&lt;LONG&gt;</t>
  </si>
  <si>
    <t>长整数列表，用于保存一个由长整数组成的列表</t>
  </si>
  <si>
    <t>52122122111111|1223434433</t>
  </si>
  <si>
    <t>&lt;FLOAT&gt;</t>
  </si>
  <si>
    <t>小数列表，用于保存一个由小数组成的列表</t>
  </si>
  <si>
    <t>554.1233|12.12</t>
  </si>
  <si>
    <t>&lt;STR&gt;</t>
  </si>
  <si>
    <t>字符串列表</t>
  </si>
  <si>
    <t>(BOOL)</t>
  </si>
  <si>
    <t>()</t>
  </si>
  <si>
    <t>(SHORT)</t>
  </si>
  <si>
    <t>(INT)</t>
  </si>
  <si>
    <t>(LONG)</t>
  </si>
  <si>
    <t>(FLOAT)</t>
  </si>
  <si>
    <t>(STR)</t>
  </si>
  <si>
    <t>&lt;(BOOL)&gt;</t>
  </si>
  <si>
    <t>&lt;(SHORT)&gt;</t>
  </si>
  <si>
    <t>&lt;(LONG)&gt;</t>
  </si>
  <si>
    <t>&lt;(FLOAT)&gt;</t>
  </si>
  <si>
    <t>&lt;(STR)&gt;</t>
  </si>
  <si>
    <t>LANG</t>
  </si>
  <si>
    <t>KeyBase</t>
  </si>
  <si>
    <t>语言id 是语言配置的id</t>
  </si>
  <si>
    <t>1</t>
  </si>
  <si>
    <t>POINT</t>
  </si>
  <si>
    <t>(0,0)</t>
  </si>
  <si>
    <t>保存小数二维坐标的类型</t>
  </si>
  <si>
    <t>(1.2,3.5)</t>
  </si>
  <si>
    <t>&lt;LANG&gt;</t>
  </si>
  <si>
    <t>语言id列表</t>
  </si>
  <si>
    <t>1|2</t>
  </si>
  <si>
    <t>&lt;POINT&gt;</t>
  </si>
  <si>
    <t>坐标点列表，Vector2的列表，用于保存小数二维坐标列表的类型</t>
  </si>
  <si>
    <t>(1.2,3.5)|(1.4,3.2)</t>
  </si>
  <si>
    <t>null</t>
  </si>
  <si>
    <t>Png图片，通常用于导出散图，导出单元格图片后，放在config\images\下</t>
  </si>
  <si>
    <t>Vector2I</t>
  </si>
  <si>
    <t>整数类型的二维坐标</t>
  </si>
  <si>
    <t>ULONG</t>
  </si>
  <si>
    <t>长整数类型，用于保存大的整数，0到18,446,744,073,709,551,615（即2^64 - 1）的非负整数值</t>
  </si>
  <si>
    <t>12312312321</t>
  </si>
  <si>
    <t>RGB</t>
  </si>
  <si>
    <t>(0,0,0)</t>
  </si>
  <si>
    <t>颜色类型rgb (x,x,x) x最大255</t>
  </si>
  <si>
    <t>RGBA</t>
  </si>
  <si>
    <t>(0,0,0,0)</t>
  </si>
  <si>
    <t>颜色类型rgba (x,x,x,x) x最大255</t>
  </si>
  <si>
    <t>&lt;Vector2I&gt;</t>
  </si>
  <si>
    <t>整数类型的整数二维坐标 的列表</t>
  </si>
  <si>
    <t>SequenceMap</t>
  </si>
  <si>
    <t>序列图的json文件名称，记得把对应的图片放在Remnant Afterglow\data\sequence_map文件夹下</t>
  </si>
  <si>
    <t>序列图名称.json</t>
  </si>
  <si>
    <t>BBCode</t>
  </si>
  <si>
    <t>BBCode是一种轻量标记语言，具体填写规则https://docs.godotengine.org/en/latest/tutorials/ui/bbcode_in_richtextlabel.html</t>
  </si>
  <si>
    <t>HashSet&lt;INT&gt;</t>
  </si>
  <si>
    <t>确保唯一的Int列表，c#中的HashSet&lt;int&gt;类型</t>
  </si>
  <si>
    <t>1|2|3|4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</si>
</sst>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b/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0" fillId="0" borderId="0" xfId="0" applyNumberFormat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Fill="1">
      <alignment vertical="center"/>
    </xf>
    <xf numFmtId="0" fontId="0" fillId="3" borderId="0" xfId="0" applyFill="1">
      <alignment vertical="center"/>
    </xf>
    <xf numFmtId="0" fontId="2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www.wps.cn/officeDocument/2020/cellImage" Target="cellimag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连接" growShrinkType="overwriteClear" refreshOnLoad="1" connectionId="1" autoFormatId="16" applyNumberFormats="0" applyBorderFormats="0" applyFontFormats="1" applyPatternFormats="1" applyAlignmentFormats="0" applyWidthHeightFormats="0">
  <queryTableRefresh preserveSortFilterLayout="0" nextId="6">
    <queryTableFields count="5">
      <queryTableField id="1" name="数据类型编号"/>
      <queryTableField id="2" name="数据类型名称"/>
      <queryTableField id="3" name="默认值"/>
      <queryTableField id="4" name="数据类型描述"/>
      <queryTableField id="5" name="数据类型示例"/>
    </queryTableFields>
  </queryTableRefresh>
</query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L25"/>
  <sheetViews>
    <sheetView tabSelected="1" zoomScale="130" zoomScaleNormal="130" topLeftCell="C1" workbookViewId="0">
      <selection activeCell="I13" sqref="I13"/>
    </sheetView>
  </sheetViews>
  <sheetFormatPr defaultColWidth="9" defaultRowHeight="13.5"/>
  <cols>
    <col min="1" max="1" width="22.6083333333333" customWidth="1"/>
    <col min="2" max="4" width="30.8833333333333" customWidth="1"/>
    <col min="5" max="5" width="23.625" customWidth="1"/>
    <col min="6" max="7" width="20.375" customWidth="1"/>
    <col min="8" max="8" width="23.1416666666667" style="13" customWidth="1"/>
    <col min="9" max="9" width="17.875" style="13" customWidth="1"/>
    <col min="10" max="10" width="36.875" style="14" customWidth="1"/>
    <col min="11" max="11" width="36.875" customWidth="1"/>
    <col min="12" max="12" width="20.6666666666667" customWidth="1"/>
  </cols>
  <sheetData>
    <row r="1" ht="57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15" t="s">
        <v>9</v>
      </c>
      <c r="K1" s="3" t="s">
        <v>10</v>
      </c>
    </row>
    <row r="2" ht="14.25" spans="1:12">
      <c r="A2" s="4" t="s">
        <v>11</v>
      </c>
      <c r="B2" s="5">
        <v>1</v>
      </c>
      <c r="C2" s="5">
        <v>2</v>
      </c>
      <c r="D2" s="5">
        <v>2</v>
      </c>
      <c r="E2" s="5">
        <v>2</v>
      </c>
      <c r="F2" s="5">
        <v>2</v>
      </c>
      <c r="G2" s="5">
        <v>2</v>
      </c>
      <c r="H2" s="4">
        <v>2</v>
      </c>
      <c r="I2" s="4">
        <v>2</v>
      </c>
      <c r="J2" s="15">
        <v>2</v>
      </c>
      <c r="K2" s="5">
        <v>3</v>
      </c>
      <c r="L2">
        <v>0</v>
      </c>
    </row>
    <row r="3" ht="14.25" spans="1:12">
      <c r="A3" s="4" t="s">
        <v>12</v>
      </c>
      <c r="B3" s="5" t="s">
        <v>13</v>
      </c>
      <c r="C3" s="5" t="s">
        <v>14</v>
      </c>
      <c r="D3" s="5" t="s">
        <v>15</v>
      </c>
      <c r="E3" s="5" t="s">
        <v>16</v>
      </c>
      <c r="F3" s="5" t="s">
        <v>17</v>
      </c>
      <c r="G3" s="5" t="s">
        <v>18</v>
      </c>
      <c r="H3" s="4" t="s">
        <v>19</v>
      </c>
      <c r="I3" s="4" t="s">
        <v>20</v>
      </c>
      <c r="J3" s="15" t="s">
        <v>21</v>
      </c>
      <c r="K3" s="5" t="s">
        <v>22</v>
      </c>
    </row>
    <row r="4" ht="14.25" spans="1:12">
      <c r="A4" s="4" t="s">
        <v>23</v>
      </c>
      <c r="B4" s="5" t="s">
        <v>24</v>
      </c>
      <c r="C4" s="5" t="s">
        <v>24</v>
      </c>
      <c r="D4" s="5" t="s">
        <v>25</v>
      </c>
      <c r="E4" s="5" t="s">
        <v>25</v>
      </c>
      <c r="F4" s="5" t="s">
        <v>24</v>
      </c>
      <c r="G4" s="5" t="s">
        <v>25</v>
      </c>
      <c r="H4" s="4" t="s">
        <v>24</v>
      </c>
      <c r="I4" s="4" t="s">
        <v>26</v>
      </c>
      <c r="J4" s="15" t="s">
        <v>27</v>
      </c>
      <c r="K4" s="5" t="s">
        <v>28</v>
      </c>
    </row>
    <row r="5" s="7" customFormat="1" ht="35" customHeight="1" spans="1:12">
      <c r="A5" s="7">
        <v>1</v>
      </c>
      <c r="B5" s="7">
        <v>1</v>
      </c>
      <c r="C5" s="6">
        <v>1</v>
      </c>
      <c r="D5" s="7" t="s">
        <v>29</v>
      </c>
      <c r="E5" s="7" t="s">
        <v>30</v>
      </c>
      <c r="F5" s="7">
        <v>1</v>
      </c>
      <c r="H5" s="11">
        <v>100</v>
      </c>
      <c r="I5" s="11" t="b">
        <v>0</v>
      </c>
      <c r="J5" s="16" t="str">
        <f t="shared" ref="J5:J7" si="0">_xlfn.DISPIMG("ID_96CCA1A64A814293A19F6B84170B633F",1)</f>
        <v>=DISPIMG("ID_96CCA1A64A814293A19F6B84170B633F",1)</v>
      </c>
      <c r="K5" s="7">
        <v>1</v>
      </c>
    </row>
    <row r="6" s="7" customFormat="1" ht="48" customHeight="1" spans="1:12">
      <c r="A6" s="7">
        <v>1</v>
      </c>
      <c r="B6" s="7">
        <v>2</v>
      </c>
      <c r="C6" s="6">
        <v>1</v>
      </c>
      <c r="D6" s="7" t="s">
        <v>31</v>
      </c>
      <c r="E6" s="7" t="s">
        <v>32</v>
      </c>
      <c r="F6" s="7">
        <v>1</v>
      </c>
      <c r="H6" s="11">
        <v>100</v>
      </c>
      <c r="I6" s="11" t="b">
        <v>0</v>
      </c>
      <c r="J6" s="16" t="str">
        <f t="shared" si="0"/>
        <v>=DISPIMG("ID_96CCA1A64A814293A19F6B84170B633F",1)</v>
      </c>
      <c r="K6" s="7">
        <v>1</v>
      </c>
    </row>
    <row r="7" s="7" customFormat="1" ht="18" customHeight="1" spans="1:12">
      <c r="A7" s="7">
        <v>1</v>
      </c>
      <c r="B7" s="7">
        <v>3</v>
      </c>
      <c r="C7" s="6">
        <v>1</v>
      </c>
      <c r="D7" s="7" t="s">
        <v>33</v>
      </c>
      <c r="E7" s="7" t="s">
        <v>34</v>
      </c>
      <c r="F7" s="7">
        <v>1</v>
      </c>
      <c r="H7" s="11">
        <v>100</v>
      </c>
      <c r="I7" s="11" t="b">
        <v>0</v>
      </c>
      <c r="J7" s="16" t="str">
        <f t="shared" si="0"/>
        <v>=DISPIMG("ID_96CCA1A64A814293A19F6B84170B633F",1)</v>
      </c>
      <c r="K7" s="7">
        <v>1</v>
      </c>
    </row>
    <row r="8" s="7" customFormat="1" ht="85" customHeight="1" spans="1:12">
      <c r="A8" s="7">
        <v>1</v>
      </c>
      <c r="B8" s="7">
        <v>4</v>
      </c>
      <c r="C8" s="6">
        <v>1</v>
      </c>
      <c r="D8" s="7" t="s">
        <v>35</v>
      </c>
      <c r="E8" s="7" t="s">
        <v>34</v>
      </c>
      <c r="F8" s="7">
        <v>1</v>
      </c>
      <c r="H8" s="11">
        <v>100</v>
      </c>
      <c r="I8" s="11" t="b">
        <v>1</v>
      </c>
      <c r="J8" s="16" t="str">
        <f>_xlfn.DISPIMG("ID_14D2BE26A4E143FC9BECBA0FA0A2EB01",1)</f>
        <v>=DISPIMG("ID_14D2BE26A4E143FC9BECBA0FA0A2EB01",1)</v>
      </c>
      <c r="K8" s="7">
        <v>1</v>
      </c>
    </row>
    <row r="9" s="7" customFormat="1" ht="14.25" spans="1:12">
      <c r="A9" s="7">
        <v>1</v>
      </c>
      <c r="B9" s="6">
        <v>5</v>
      </c>
      <c r="C9" s="6">
        <v>2</v>
      </c>
      <c r="D9" s="7" t="s">
        <v>36</v>
      </c>
      <c r="E9" s="7" t="s">
        <v>37</v>
      </c>
      <c r="F9" s="7">
        <v>1</v>
      </c>
      <c r="H9" s="11">
        <v>1000</v>
      </c>
      <c r="I9" s="11" t="b">
        <v>0</v>
      </c>
      <c r="J9" s="16" t="str">
        <f>_xlfn.DISPIMG("ID_ACEF8F5720F34F7D9873B4818BE71831",1)</f>
        <v>=DISPIMG("ID_ACEF8F5720F34F7D9873B4818BE71831",1)</v>
      </c>
      <c r="K9" s="7">
        <v>1</v>
      </c>
    </row>
    <row r="10" s="7" customFormat="1" spans="1:12">
      <c r="A10" s="7">
        <v>1</v>
      </c>
      <c r="B10" s="7">
        <v>6</v>
      </c>
      <c r="C10" s="7">
        <v>3</v>
      </c>
      <c r="D10" s="7" t="s">
        <v>38</v>
      </c>
      <c r="E10" s="7" t="s">
        <v>34</v>
      </c>
      <c r="F10" s="7">
        <v>1</v>
      </c>
      <c r="H10" s="11">
        <v>100</v>
      </c>
      <c r="I10" s="11" t="b">
        <v>0</v>
      </c>
      <c r="J10" s="16" t="str">
        <f t="shared" ref="J10:J15" si="1">_xlfn.DISPIMG("ID_96CCA1A64A814293A19F6B84170B633F",1)</f>
        <v>=DISPIMG("ID_96CCA1A64A814293A19F6B84170B633F",1)</v>
      </c>
      <c r="K10" s="7">
        <v>1</v>
      </c>
    </row>
    <row r="11" s="7" customFormat="1" ht="32.45" spans="1:12">
      <c r="A11" s="7">
        <v>1</v>
      </c>
      <c r="B11" s="6">
        <v>7</v>
      </c>
      <c r="C11" s="6">
        <v>1</v>
      </c>
      <c r="D11" s="7" t="s">
        <v>39</v>
      </c>
      <c r="E11" s="7" t="s">
        <v>40</v>
      </c>
      <c r="F11" s="7">
        <v>1</v>
      </c>
      <c r="H11" s="11">
        <v>100</v>
      </c>
      <c r="I11" s="11" t="b">
        <v>0</v>
      </c>
      <c r="J11" s="16" t="str">
        <f>_xlfn.DISPIMG("ID_9D9BB6A07F5243DCB9AC9FBC638EA735",1)</f>
        <v>=DISPIMG("ID_9D9BB6A07F5243DCB9AC9FBC638EA735",1)</v>
      </c>
      <c r="K11" s="7">
        <v>1</v>
      </c>
    </row>
    <row r="12" s="7" customFormat="1" ht="14.25" spans="1:12">
      <c r="A12" s="7">
        <v>1</v>
      </c>
      <c r="B12" s="6">
        <v>8</v>
      </c>
      <c r="C12" s="6">
        <v>1</v>
      </c>
      <c r="D12" s="7" t="s">
        <v>41</v>
      </c>
      <c r="E12" s="7" t="s">
        <v>42</v>
      </c>
      <c r="F12" s="7">
        <v>1</v>
      </c>
      <c r="H12" s="11">
        <v>100</v>
      </c>
      <c r="I12" s="11" t="b">
        <v>0</v>
      </c>
      <c r="J12" s="16" t="str">
        <f t="shared" si="1"/>
        <v>=DISPIMG("ID_96CCA1A64A814293A19F6B84170B633F",1)</v>
      </c>
      <c r="K12" s="7">
        <v>1</v>
      </c>
    </row>
    <row r="13" s="7" customFormat="1" ht="18" customHeight="1" spans="1:12">
      <c r="A13" s="7">
        <v>1</v>
      </c>
      <c r="B13" s="6">
        <v>100101</v>
      </c>
      <c r="C13" s="6">
        <v>1</v>
      </c>
      <c r="D13" s="7" t="s">
        <v>43</v>
      </c>
      <c r="E13" s="7" t="s">
        <v>44</v>
      </c>
      <c r="F13" s="7">
        <v>1</v>
      </c>
      <c r="H13" s="11">
        <v>100</v>
      </c>
      <c r="I13" s="11" t="b">
        <v>0</v>
      </c>
      <c r="J13" s="16" t="str">
        <f t="shared" si="1"/>
        <v>=DISPIMG("ID_96CCA1A64A814293A19F6B84170B633F",1)</v>
      </c>
      <c r="K13" s="7">
        <v>1</v>
      </c>
    </row>
    <row r="14" s="7" customFormat="1" ht="14.25" spans="1:12">
      <c r="A14" s="7">
        <v>1</v>
      </c>
      <c r="B14" s="6">
        <v>100102</v>
      </c>
      <c r="C14" s="6">
        <v>1</v>
      </c>
      <c r="D14" s="7" t="s">
        <v>43</v>
      </c>
      <c r="E14" s="7" t="s">
        <v>44</v>
      </c>
      <c r="F14" s="7">
        <v>1</v>
      </c>
      <c r="H14" s="11">
        <v>100</v>
      </c>
      <c r="I14" s="11" t="b">
        <v>0</v>
      </c>
      <c r="J14" s="16" t="str">
        <f t="shared" si="1"/>
        <v>=DISPIMG("ID_96CCA1A64A814293A19F6B84170B633F",1)</v>
      </c>
    </row>
    <row r="15" s="7" customFormat="1" ht="14.25" spans="1:12">
      <c r="A15" s="7">
        <v>1</v>
      </c>
      <c r="B15" s="6">
        <v>100103</v>
      </c>
      <c r="C15" s="6">
        <v>1</v>
      </c>
      <c r="D15" s="7" t="s">
        <v>43</v>
      </c>
      <c r="E15" s="7" t="s">
        <v>44</v>
      </c>
      <c r="F15" s="7">
        <v>1</v>
      </c>
      <c r="H15" s="11">
        <v>100</v>
      </c>
      <c r="I15" s="11" t="b">
        <v>0</v>
      </c>
      <c r="J15" s="16" t="str">
        <f t="shared" si="1"/>
        <v>=DISPIMG("ID_96CCA1A64A814293A19F6B84170B633F",1)</v>
      </c>
    </row>
    <row r="16" s="7" customFormat="1" spans="1:12">
      <c r="A16" s="7">
        <v>1</v>
      </c>
      <c r="B16" s="10" t="s">
        <v>45</v>
      </c>
      <c r="C16" s="7">
        <v>1</v>
      </c>
      <c r="D16" s="10" t="s">
        <v>46</v>
      </c>
      <c r="E16" s="7" t="s">
        <v>47</v>
      </c>
      <c r="F16" s="7">
        <v>1</v>
      </c>
      <c r="H16" s="11">
        <v>100</v>
      </c>
      <c r="I16" s="11" t="b">
        <v>0</v>
      </c>
      <c r="J16" s="16" t="str">
        <f t="shared" ref="J16:J18" si="2">_xlfn.DISPIMG("ID_FF7E28104CED49C5B8A6A806119BEA02",1)</f>
        <v>=DISPIMG("ID_FF7E28104CED49C5B8A6A806119BEA02",1)</v>
      </c>
      <c r="K16" s="7">
        <v>1</v>
      </c>
      <c r="L16" s="7" t="s">
        <v>48</v>
      </c>
    </row>
    <row r="17" s="7" customFormat="1" spans="1:12">
      <c r="A17" s="7">
        <v>1</v>
      </c>
      <c r="B17" s="10">
        <v>201102</v>
      </c>
      <c r="C17" s="7">
        <v>1</v>
      </c>
      <c r="D17" s="10" t="s">
        <v>49</v>
      </c>
      <c r="E17" s="7" t="s">
        <v>47</v>
      </c>
      <c r="F17" s="7">
        <v>1</v>
      </c>
      <c r="H17" s="11">
        <v>100</v>
      </c>
      <c r="I17" s="11" t="b">
        <v>0</v>
      </c>
      <c r="J17" s="16" t="str">
        <f t="shared" si="2"/>
        <v>=DISPIMG("ID_FF7E28104CED49C5B8A6A806119BEA02",1)</v>
      </c>
      <c r="K17" s="7">
        <v>1</v>
      </c>
      <c r="L17" s="7" t="s">
        <v>48</v>
      </c>
    </row>
    <row r="18" s="7" customFormat="1" spans="1:12">
      <c r="A18" s="7">
        <v>1</v>
      </c>
      <c r="B18" s="10">
        <v>201103</v>
      </c>
      <c r="C18" s="7">
        <v>1</v>
      </c>
      <c r="D18" s="10" t="s">
        <v>50</v>
      </c>
      <c r="E18" s="7" t="s">
        <v>47</v>
      </c>
      <c r="F18" s="7">
        <v>1</v>
      </c>
      <c r="H18" s="11">
        <v>100</v>
      </c>
      <c r="I18" s="11" t="b">
        <v>0</v>
      </c>
      <c r="J18" s="16" t="str">
        <f t="shared" si="2"/>
        <v>=DISPIMG("ID_FF7E28104CED49C5B8A6A806119BEA02",1)</v>
      </c>
      <c r="K18" s="7">
        <v>1</v>
      </c>
      <c r="L18" s="7" t="s">
        <v>48</v>
      </c>
    </row>
    <row r="19" s="7" customFormat="1" spans="1:12">
      <c r="A19" s="7">
        <v>1</v>
      </c>
      <c r="B19" s="7">
        <v>100401</v>
      </c>
      <c r="C19" s="7">
        <v>1</v>
      </c>
      <c r="D19" s="7" t="s">
        <v>51</v>
      </c>
      <c r="E19" s="7" t="s">
        <v>52</v>
      </c>
      <c r="F19" s="7">
        <v>1</v>
      </c>
      <c r="H19" s="11">
        <v>100</v>
      </c>
      <c r="I19" s="11" t="b">
        <v>0</v>
      </c>
      <c r="J19" s="16" t="str">
        <f>_xlfn.DISPIMG("ID_77CA5B8C9EB64A64B923FFA07F70927A",1)</f>
        <v>=DISPIMG("ID_77CA5B8C9EB64A64B923FFA07F70927A",1)</v>
      </c>
      <c r="K19" s="7">
        <v>1</v>
      </c>
    </row>
    <row r="20" s="7" customFormat="1" ht="85" customHeight="1" spans="1:12">
      <c r="A20" s="7">
        <v>1</v>
      </c>
      <c r="B20" s="7">
        <v>80071</v>
      </c>
      <c r="C20" s="6">
        <v>1</v>
      </c>
      <c r="D20" s="7" t="s">
        <v>35</v>
      </c>
      <c r="E20" s="7" t="s">
        <v>34</v>
      </c>
      <c r="F20" s="7">
        <v>1</v>
      </c>
      <c r="H20" s="11">
        <v>100</v>
      </c>
      <c r="I20" s="11" t="b">
        <v>1</v>
      </c>
      <c r="J20" s="16" t="str">
        <f>_xlfn.DISPIMG("ID_14D2BE26A4E143FC9BECBA0FA0A2EB01",1)</f>
        <v>=DISPIMG("ID_14D2BE26A4E143FC9BECBA0FA0A2EB01",1)</v>
      </c>
      <c r="K20" s="7">
        <v>1</v>
      </c>
    </row>
    <row r="21" s="7" customFormat="1" ht="85" customHeight="1" spans="1:12">
      <c r="A21" s="7">
        <v>1</v>
      </c>
      <c r="B21" s="7">
        <v>80072</v>
      </c>
      <c r="C21" s="6">
        <v>1</v>
      </c>
      <c r="D21" s="7" t="s">
        <v>35</v>
      </c>
      <c r="E21" s="7" t="s">
        <v>34</v>
      </c>
      <c r="F21" s="7">
        <v>1</v>
      </c>
      <c r="H21" s="11">
        <v>100</v>
      </c>
      <c r="I21" s="11" t="b">
        <v>1</v>
      </c>
      <c r="J21" s="16" t="str">
        <f>_xlfn.DISPIMG("ID_14D2BE26A4E143FC9BECBA0FA0A2EB01",1)</f>
        <v>=DISPIMG("ID_14D2BE26A4E143FC9BECBA0FA0A2EB01",1)</v>
      </c>
      <c r="K21" s="7">
        <v>1</v>
      </c>
    </row>
    <row r="22" s="7" customFormat="1" ht="14.25" spans="1:12">
      <c r="A22" s="7">
        <v>1</v>
      </c>
      <c r="B22" s="12">
        <v>100301</v>
      </c>
      <c r="C22" s="6">
        <v>1</v>
      </c>
      <c r="D22" s="7" t="s">
        <v>53</v>
      </c>
      <c r="E22" s="7" t="s">
        <v>54</v>
      </c>
      <c r="F22" s="7">
        <v>1</v>
      </c>
      <c r="H22" s="11">
        <v>100</v>
      </c>
      <c r="I22" s="11" t="b">
        <v>0</v>
      </c>
      <c r="J22" s="16" t="str">
        <f t="shared" ref="J22:J24" si="3">_xlfn.DISPIMG("ID_6498193AC743454BB48E8D8289A8DBE2",1)</f>
        <v>=DISPIMG("ID_6498193AC743454BB48E8D8289A8DBE2",1)</v>
      </c>
      <c r="K22" s="7">
        <v>1</v>
      </c>
    </row>
    <row r="23" s="7" customFormat="1" ht="14.25" spans="1:12">
      <c r="A23" s="7">
        <v>1</v>
      </c>
      <c r="B23" s="12">
        <v>100302</v>
      </c>
      <c r="C23" s="6">
        <v>1</v>
      </c>
      <c r="D23" s="7" t="s">
        <v>55</v>
      </c>
      <c r="E23" s="7" t="s">
        <v>54</v>
      </c>
      <c r="F23" s="7">
        <v>1</v>
      </c>
      <c r="H23" s="11">
        <v>100</v>
      </c>
      <c r="I23" s="11" t="b">
        <v>0</v>
      </c>
      <c r="J23" s="16" t="str">
        <f t="shared" si="3"/>
        <v>=DISPIMG("ID_6498193AC743454BB48E8D8289A8DBE2",1)</v>
      </c>
      <c r="K23" s="7">
        <v>1</v>
      </c>
    </row>
    <row r="24" ht="14.25" spans="1:12">
      <c r="A24" s="7">
        <v>1</v>
      </c>
      <c r="B24" s="12">
        <v>100303</v>
      </c>
      <c r="C24" s="6">
        <v>1</v>
      </c>
      <c r="D24" s="7" t="s">
        <v>56</v>
      </c>
      <c r="E24" s="7" t="s">
        <v>54</v>
      </c>
      <c r="F24" s="7">
        <v>1</v>
      </c>
      <c r="H24" s="11">
        <v>100</v>
      </c>
      <c r="I24" s="11" t="b">
        <v>0</v>
      </c>
      <c r="J24" s="16" t="str">
        <f t="shared" si="3"/>
        <v>=DISPIMG("ID_6498193AC743454BB48E8D8289A8DBE2",1)</v>
      </c>
      <c r="K24" s="7">
        <v>1</v>
      </c>
    </row>
    <row r="25" spans="1:12">
      <c r="H25" s="11"/>
      <c r="I25" s="11"/>
    </row>
  </sheetData>
  <dataValidations count="1">
    <dataValidation type="list" allowBlank="1" showInputMessage="1" showErrorMessage="1" sqref="B4:F4 H4:K4">
      <formula1>数据类型!$B$2:$B$56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N29"/>
  <sheetViews>
    <sheetView zoomScale="130" zoomScaleNormal="130" topLeftCell="F1" workbookViewId="0">
      <selection activeCell="G25" sqref="G25"/>
    </sheetView>
  </sheetViews>
  <sheetFormatPr defaultColWidth="9" defaultRowHeight="14.25"/>
  <cols>
    <col min="1" max="1" width="22.6083333333333" style="8" customWidth="1"/>
    <col min="2" max="3" width="20" style="8" customWidth="1"/>
    <col min="4" max="4" width="18.25" style="8" customWidth="1"/>
    <col min="5" max="11" width="26.95" style="8" customWidth="1"/>
    <col min="12" max="12" width="25" style="8" customWidth="1"/>
    <col min="13" max="13" width="17.4916666666667" style="8" customWidth="1"/>
    <col min="14" max="14" width="15.8916666666667" style="8" customWidth="1"/>
    <col min="15" max="16384" width="9" style="8"/>
  </cols>
  <sheetData>
    <row r="1" s="5" customFormat="1" ht="121" customHeight="1" spans="1:14">
      <c r="A1" s="3" t="s">
        <v>0</v>
      </c>
      <c r="B1" s="3" t="s">
        <v>57</v>
      </c>
      <c r="C1" s="3" t="s">
        <v>58</v>
      </c>
      <c r="D1" s="3" t="s">
        <v>59</v>
      </c>
      <c r="E1" s="3" t="s">
        <v>60</v>
      </c>
      <c r="F1" s="3" t="s">
        <v>61</v>
      </c>
      <c r="G1" s="3" t="s">
        <v>62</v>
      </c>
      <c r="H1" s="3" t="s">
        <v>63</v>
      </c>
      <c r="I1" s="3" t="s">
        <v>64</v>
      </c>
      <c r="J1" s="3" t="s">
        <v>65</v>
      </c>
      <c r="K1" s="3" t="s">
        <v>66</v>
      </c>
      <c r="L1" s="3" t="s">
        <v>67</v>
      </c>
      <c r="M1" s="3" t="s">
        <v>68</v>
      </c>
      <c r="N1" s="3" t="s">
        <v>69</v>
      </c>
    </row>
    <row r="2" ht="28" customHeight="1" spans="1:14">
      <c r="A2" s="4" t="s">
        <v>11</v>
      </c>
      <c r="B2" s="5">
        <v>1</v>
      </c>
      <c r="C2" s="5">
        <v>2</v>
      </c>
      <c r="D2" s="5">
        <v>2</v>
      </c>
      <c r="E2" s="5">
        <v>2</v>
      </c>
      <c r="F2" s="5">
        <v>2</v>
      </c>
      <c r="G2" s="5">
        <v>2</v>
      </c>
      <c r="H2" s="5">
        <v>2</v>
      </c>
      <c r="I2" s="5">
        <v>2</v>
      </c>
      <c r="J2" s="5">
        <v>2</v>
      </c>
      <c r="K2" s="5">
        <v>2</v>
      </c>
      <c r="L2" s="5">
        <v>2</v>
      </c>
      <c r="M2" s="5">
        <v>2</v>
      </c>
      <c r="N2" s="5">
        <v>3</v>
      </c>
    </row>
    <row r="3" s="5" customFormat="1" ht="27" customHeight="1" spans="1:14">
      <c r="A3" s="4" t="s">
        <v>12</v>
      </c>
      <c r="B3" s="5" t="s">
        <v>13</v>
      </c>
      <c r="C3" s="5" t="s">
        <v>15</v>
      </c>
      <c r="D3" s="5" t="s">
        <v>70</v>
      </c>
      <c r="E3" s="5" t="s">
        <v>71</v>
      </c>
      <c r="F3" s="5" t="s">
        <v>72</v>
      </c>
      <c r="G3" s="5" t="s">
        <v>73</v>
      </c>
      <c r="H3" s="5" t="s">
        <v>74</v>
      </c>
      <c r="I3" s="5" t="s">
        <v>75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80</v>
      </c>
    </row>
    <row r="4" ht="43" customHeight="1" spans="1:14">
      <c r="A4" s="4" t="s">
        <v>23</v>
      </c>
      <c r="B4" s="5" t="s">
        <v>24</v>
      </c>
      <c r="C4" s="5" t="s">
        <v>25</v>
      </c>
      <c r="D4" s="5" t="s">
        <v>25</v>
      </c>
      <c r="E4" s="5" t="s">
        <v>24</v>
      </c>
      <c r="F4" s="5" t="s">
        <v>24</v>
      </c>
      <c r="G4" s="5" t="s">
        <v>24</v>
      </c>
      <c r="H4" s="5" t="s">
        <v>24</v>
      </c>
      <c r="I4" s="5" t="s">
        <v>81</v>
      </c>
      <c r="J4" s="5" t="s">
        <v>28</v>
      </c>
      <c r="K4" s="5" t="s">
        <v>82</v>
      </c>
      <c r="L4" s="5" t="s">
        <v>82</v>
      </c>
      <c r="M4" s="5" t="s">
        <v>82</v>
      </c>
      <c r="N4" s="5" t="s">
        <v>82</v>
      </c>
    </row>
    <row r="5" s="6" customFormat="1" spans="1:14">
      <c r="A5" s="6">
        <v>1</v>
      </c>
      <c r="B5" s="7">
        <v>1</v>
      </c>
      <c r="C5" s="7" t="s">
        <v>29</v>
      </c>
      <c r="D5" s="6" t="s">
        <v>83</v>
      </c>
      <c r="E5" s="6">
        <v>20</v>
      </c>
      <c r="F5" s="6">
        <v>0</v>
      </c>
      <c r="G5" s="6">
        <v>20</v>
      </c>
      <c r="H5" s="6">
        <v>0</v>
      </c>
      <c r="I5" s="9"/>
      <c r="J5" s="9"/>
      <c r="K5" s="9">
        <v>100</v>
      </c>
      <c r="L5" s="6">
        <v>4000</v>
      </c>
      <c r="M5" s="6">
        <v>0</v>
      </c>
      <c r="N5" s="6">
        <v>0</v>
      </c>
    </row>
    <row r="6" s="6" customFormat="1" spans="1:14">
      <c r="A6" s="6">
        <v>1</v>
      </c>
      <c r="B6" s="7">
        <v>2</v>
      </c>
      <c r="C6" s="7" t="s">
        <v>31</v>
      </c>
      <c r="D6" s="6" t="s">
        <v>83</v>
      </c>
      <c r="E6" s="6">
        <v>20</v>
      </c>
      <c r="F6" s="6">
        <v>0</v>
      </c>
      <c r="G6" s="6">
        <v>20</v>
      </c>
      <c r="H6" s="6">
        <v>0</v>
      </c>
      <c r="I6" s="9"/>
      <c r="J6" s="9"/>
      <c r="K6" s="9">
        <v>100</v>
      </c>
      <c r="L6" s="6">
        <v>4000</v>
      </c>
      <c r="M6" s="6">
        <v>0</v>
      </c>
      <c r="N6" s="6">
        <v>0</v>
      </c>
    </row>
    <row r="7" s="6" customFormat="1" spans="1:14">
      <c r="A7" s="6">
        <v>1</v>
      </c>
      <c r="B7" s="7">
        <v>3</v>
      </c>
      <c r="C7" s="7" t="s">
        <v>33</v>
      </c>
      <c r="D7" s="6" t="s">
        <v>84</v>
      </c>
      <c r="E7" s="6">
        <v>20</v>
      </c>
      <c r="F7" s="6">
        <v>0</v>
      </c>
      <c r="G7" s="6">
        <v>20</v>
      </c>
      <c r="H7" s="6">
        <v>0</v>
      </c>
      <c r="K7" s="6">
        <v>6</v>
      </c>
      <c r="L7" s="6">
        <v>500</v>
      </c>
      <c r="M7" s="6">
        <v>0</v>
      </c>
      <c r="N7" s="6">
        <v>0</v>
      </c>
    </row>
    <row r="8" s="6" customFormat="1" spans="1:14">
      <c r="A8" s="6">
        <v>1</v>
      </c>
      <c r="B8" s="7">
        <v>4</v>
      </c>
      <c r="C8" s="7" t="s">
        <v>35</v>
      </c>
      <c r="D8" s="6" t="s">
        <v>84</v>
      </c>
      <c r="E8" s="6">
        <v>10</v>
      </c>
      <c r="F8" s="6">
        <v>0</v>
      </c>
      <c r="G8" s="6">
        <v>10</v>
      </c>
      <c r="H8" s="6">
        <v>0</v>
      </c>
      <c r="K8" s="6">
        <v>6</v>
      </c>
      <c r="L8" s="6">
        <v>300</v>
      </c>
      <c r="M8" s="6">
        <v>0</v>
      </c>
      <c r="N8" s="6">
        <v>0</v>
      </c>
    </row>
    <row r="9" s="6" customFormat="1" spans="1:14">
      <c r="A9" s="6">
        <v>1</v>
      </c>
      <c r="B9" s="6">
        <v>5</v>
      </c>
      <c r="C9" s="7" t="s">
        <v>36</v>
      </c>
      <c r="D9" s="7" t="s">
        <v>36</v>
      </c>
      <c r="E9" s="6">
        <v>50</v>
      </c>
      <c r="F9" s="6">
        <v>10</v>
      </c>
      <c r="G9" s="6">
        <v>90</v>
      </c>
      <c r="H9" s="6">
        <v>0</v>
      </c>
      <c r="K9" s="6">
        <v>8</v>
      </c>
      <c r="L9" s="6">
        <v>700</v>
      </c>
      <c r="M9" s="6">
        <v>0</v>
      </c>
      <c r="N9" s="6">
        <v>0</v>
      </c>
    </row>
    <row r="10" s="6" customFormat="1" spans="1:14">
      <c r="A10" s="6">
        <v>1</v>
      </c>
      <c r="B10" s="7">
        <v>6</v>
      </c>
      <c r="C10" s="7" t="s">
        <v>33</v>
      </c>
      <c r="D10" s="6" t="s">
        <v>38</v>
      </c>
      <c r="E10" s="6">
        <v>5</v>
      </c>
      <c r="F10" s="6">
        <v>5</v>
      </c>
      <c r="G10" s="6">
        <v>10</v>
      </c>
      <c r="H10" s="6">
        <v>1</v>
      </c>
      <c r="K10" s="6">
        <v>6</v>
      </c>
      <c r="L10" s="6">
        <v>500</v>
      </c>
      <c r="M10" s="6">
        <v>0</v>
      </c>
      <c r="N10" s="6">
        <v>0</v>
      </c>
    </row>
    <row r="11" s="6" customFormat="1" spans="1:14">
      <c r="A11" s="6">
        <v>1</v>
      </c>
      <c r="B11" s="6">
        <v>7</v>
      </c>
      <c r="C11" s="7" t="s">
        <v>39</v>
      </c>
      <c r="D11" s="7" t="s">
        <v>39</v>
      </c>
      <c r="E11" s="6">
        <v>3</v>
      </c>
      <c r="F11" s="6">
        <v>0</v>
      </c>
      <c r="G11" s="6">
        <v>10</v>
      </c>
      <c r="H11" s="6">
        <v>5</v>
      </c>
      <c r="I11" s="6" t="s">
        <v>85</v>
      </c>
      <c r="K11" s="6">
        <v>6</v>
      </c>
      <c r="L11" s="6">
        <v>500</v>
      </c>
      <c r="M11" s="6">
        <v>0</v>
      </c>
      <c r="N11" s="6">
        <v>99</v>
      </c>
    </row>
    <row r="12" s="6" customFormat="1" spans="1:14">
      <c r="A12" s="7">
        <v>1</v>
      </c>
      <c r="B12" s="6">
        <v>8</v>
      </c>
      <c r="C12" s="7" t="s">
        <v>41</v>
      </c>
      <c r="D12" s="7" t="s">
        <v>41</v>
      </c>
      <c r="E12" s="6">
        <v>10</v>
      </c>
      <c r="F12" s="6">
        <v>0</v>
      </c>
      <c r="G12" s="6">
        <v>20</v>
      </c>
      <c r="H12" s="6">
        <v>0</v>
      </c>
      <c r="K12" s="6">
        <v>6</v>
      </c>
      <c r="L12" s="6">
        <v>500</v>
      </c>
      <c r="M12" s="6">
        <v>0</v>
      </c>
      <c r="N12" s="6">
        <v>0</v>
      </c>
    </row>
    <row r="13" s="6" customFormat="1" spans="1:14">
      <c r="A13" s="7">
        <v>1</v>
      </c>
      <c r="B13" s="6">
        <v>100101</v>
      </c>
      <c r="C13" s="7" t="s">
        <v>86</v>
      </c>
      <c r="D13" s="7" t="s">
        <v>86</v>
      </c>
      <c r="E13" s="6">
        <v>300</v>
      </c>
      <c r="F13" s="6">
        <v>500</v>
      </c>
      <c r="G13" s="6">
        <v>500</v>
      </c>
      <c r="H13" s="6">
        <v>50</v>
      </c>
      <c r="K13" s="6">
        <v>6</v>
      </c>
      <c r="L13" s="6">
        <v>700</v>
      </c>
      <c r="M13" s="6">
        <v>0</v>
      </c>
      <c r="N13" s="6">
        <v>0</v>
      </c>
    </row>
    <row r="14" s="6" customFormat="1" spans="1:14">
      <c r="A14" s="7">
        <v>1</v>
      </c>
      <c r="B14" s="6">
        <v>100102</v>
      </c>
      <c r="C14" s="7" t="s">
        <v>87</v>
      </c>
      <c r="D14" s="7" t="s">
        <v>87</v>
      </c>
      <c r="E14" s="6">
        <v>400</v>
      </c>
      <c r="F14" s="6">
        <v>1250</v>
      </c>
      <c r="G14" s="6">
        <v>750</v>
      </c>
      <c r="H14" s="6">
        <v>100</v>
      </c>
      <c r="K14" s="6">
        <v>6</v>
      </c>
      <c r="L14" s="6">
        <v>700</v>
      </c>
      <c r="M14" s="6">
        <v>0</v>
      </c>
      <c r="N14" s="6">
        <v>0</v>
      </c>
    </row>
    <row r="15" s="6" customFormat="1" spans="1:14">
      <c r="A15" s="7">
        <v>1</v>
      </c>
      <c r="B15" s="6">
        <v>100103</v>
      </c>
      <c r="C15" s="7" t="s">
        <v>88</v>
      </c>
      <c r="D15" s="7" t="s">
        <v>88</v>
      </c>
      <c r="E15" s="6">
        <v>500</v>
      </c>
      <c r="F15" s="6">
        <v>2750</v>
      </c>
      <c r="G15" s="6">
        <v>1000</v>
      </c>
      <c r="H15" s="6">
        <v>200</v>
      </c>
      <c r="K15" s="6">
        <v>6</v>
      </c>
      <c r="L15" s="6">
        <v>700</v>
      </c>
      <c r="M15" s="6">
        <v>0</v>
      </c>
      <c r="N15" s="6">
        <v>0</v>
      </c>
    </row>
    <row r="16" s="7" customFormat="1" spans="1:14">
      <c r="A16" s="7">
        <v>1</v>
      </c>
      <c r="B16" s="10" t="s">
        <v>45</v>
      </c>
      <c r="C16" s="10" t="s">
        <v>46</v>
      </c>
      <c r="D16" s="7" t="s">
        <v>89</v>
      </c>
      <c r="E16" s="7">
        <v>500</v>
      </c>
      <c r="F16" s="7">
        <v>0</v>
      </c>
      <c r="G16" s="7">
        <v>250</v>
      </c>
      <c r="H16" s="11">
        <v>0</v>
      </c>
      <c r="I16" s="11"/>
      <c r="J16" s="11"/>
      <c r="K16" s="11">
        <v>1</v>
      </c>
      <c r="L16" s="7">
        <v>0</v>
      </c>
      <c r="M16" s="6">
        <v>0</v>
      </c>
      <c r="N16" s="6">
        <v>0</v>
      </c>
    </row>
    <row r="17" s="7" customFormat="1" spans="1:14">
      <c r="A17" s="7">
        <v>1</v>
      </c>
      <c r="B17" s="10">
        <v>201102</v>
      </c>
      <c r="C17" s="10" t="s">
        <v>49</v>
      </c>
      <c r="D17" s="7" t="s">
        <v>89</v>
      </c>
      <c r="E17" s="7">
        <v>1000</v>
      </c>
      <c r="F17" s="7">
        <v>0</v>
      </c>
      <c r="G17" s="6">
        <v>500</v>
      </c>
      <c r="H17" s="11">
        <v>0</v>
      </c>
      <c r="I17" s="11"/>
      <c r="J17" s="11"/>
      <c r="K17" s="11">
        <v>1</v>
      </c>
      <c r="L17" s="7">
        <v>0</v>
      </c>
      <c r="M17" s="6">
        <v>0</v>
      </c>
      <c r="N17" s="6">
        <v>0</v>
      </c>
    </row>
    <row r="18" s="7" customFormat="1" spans="1:14">
      <c r="A18" s="7">
        <v>1</v>
      </c>
      <c r="B18" s="10">
        <v>201103</v>
      </c>
      <c r="C18" s="10" t="s">
        <v>50</v>
      </c>
      <c r="D18" s="7" t="s">
        <v>89</v>
      </c>
      <c r="E18" s="7">
        <v>1500</v>
      </c>
      <c r="F18" s="7">
        <v>0</v>
      </c>
      <c r="G18" s="6">
        <v>750</v>
      </c>
      <c r="H18" s="11">
        <v>0</v>
      </c>
      <c r="I18" s="11"/>
      <c r="J18" s="11"/>
      <c r="K18" s="11">
        <v>1</v>
      </c>
      <c r="L18" s="7">
        <v>0</v>
      </c>
      <c r="M18" s="6">
        <v>0</v>
      </c>
      <c r="N18" s="6">
        <v>0</v>
      </c>
    </row>
    <row r="19" s="6" customFormat="1" spans="1:14">
      <c r="A19" s="7">
        <v>1</v>
      </c>
      <c r="B19" s="7">
        <v>100401</v>
      </c>
      <c r="C19" s="7" t="s">
        <v>90</v>
      </c>
      <c r="D19" s="7" t="s">
        <v>90</v>
      </c>
      <c r="E19" s="6">
        <v>35</v>
      </c>
      <c r="F19" s="6">
        <v>0</v>
      </c>
      <c r="G19" s="6">
        <v>35</v>
      </c>
      <c r="H19" s="6">
        <v>0</v>
      </c>
      <c r="K19" s="6">
        <v>5</v>
      </c>
      <c r="L19" s="6">
        <v>1000</v>
      </c>
      <c r="M19" s="6">
        <v>0</v>
      </c>
      <c r="N19" s="6">
        <v>1</v>
      </c>
    </row>
    <row r="20" s="6" customFormat="1" spans="1:14">
      <c r="A20" s="7">
        <v>1</v>
      </c>
      <c r="B20" s="7">
        <v>80071</v>
      </c>
      <c r="C20" s="6" t="s">
        <v>91</v>
      </c>
      <c r="D20" s="6" t="s">
        <v>92</v>
      </c>
      <c r="E20" s="6">
        <v>5</v>
      </c>
      <c r="F20" s="6">
        <v>0</v>
      </c>
      <c r="G20" s="6">
        <v>5</v>
      </c>
      <c r="H20" s="6">
        <v>0</v>
      </c>
      <c r="K20" s="6">
        <v>6</v>
      </c>
      <c r="L20" s="6">
        <v>300</v>
      </c>
      <c r="M20" s="6">
        <v>0</v>
      </c>
      <c r="N20" s="6">
        <v>0</v>
      </c>
    </row>
    <row r="21" s="6" customFormat="1" spans="1:14">
      <c r="A21" s="7">
        <v>1</v>
      </c>
      <c r="B21" s="7">
        <v>80072</v>
      </c>
      <c r="C21" s="7" t="s">
        <v>93</v>
      </c>
      <c r="D21" s="6" t="s">
        <v>92</v>
      </c>
      <c r="E21" s="6">
        <v>20</v>
      </c>
      <c r="F21" s="6">
        <v>0</v>
      </c>
      <c r="G21" s="6">
        <v>20</v>
      </c>
      <c r="H21" s="6">
        <v>0</v>
      </c>
      <c r="K21" s="6">
        <v>6</v>
      </c>
      <c r="L21" s="6">
        <v>300</v>
      </c>
      <c r="M21" s="6">
        <v>0</v>
      </c>
      <c r="N21" s="6">
        <v>0</v>
      </c>
    </row>
    <row r="22" s="6" customFormat="1" spans="1:14">
      <c r="A22" s="7">
        <v>1</v>
      </c>
      <c r="B22" s="12">
        <v>100301</v>
      </c>
      <c r="C22" s="7" t="s">
        <v>53</v>
      </c>
      <c r="D22" s="7" t="s">
        <v>53</v>
      </c>
      <c r="E22" s="7">
        <v>20</v>
      </c>
      <c r="F22" s="6">
        <v>0</v>
      </c>
      <c r="G22" s="6">
        <v>10</v>
      </c>
      <c r="H22" s="6">
        <v>0</v>
      </c>
      <c r="K22" s="6">
        <v>6</v>
      </c>
      <c r="L22" s="6">
        <v>400</v>
      </c>
      <c r="M22" s="6">
        <v>0</v>
      </c>
      <c r="N22" s="6">
        <v>0</v>
      </c>
    </row>
    <row r="23" s="6" customFormat="1" spans="1:14">
      <c r="A23" s="7">
        <v>1</v>
      </c>
      <c r="B23" s="12">
        <v>100302</v>
      </c>
      <c r="C23" s="7" t="s">
        <v>55</v>
      </c>
      <c r="D23" s="7" t="s">
        <v>55</v>
      </c>
      <c r="E23" s="7">
        <v>24</v>
      </c>
      <c r="F23" s="6">
        <v>1</v>
      </c>
      <c r="G23" s="6">
        <v>12</v>
      </c>
      <c r="H23" s="6">
        <v>0</v>
      </c>
      <c r="K23" s="6">
        <v>6</v>
      </c>
      <c r="L23" s="6">
        <v>400</v>
      </c>
      <c r="M23" s="6">
        <v>0</v>
      </c>
      <c r="N23" s="6">
        <v>0</v>
      </c>
    </row>
    <row r="24" s="6" customFormat="1" spans="1:14">
      <c r="A24" s="7">
        <v>1</v>
      </c>
      <c r="B24" s="12">
        <v>100303</v>
      </c>
      <c r="C24" s="7" t="s">
        <v>56</v>
      </c>
      <c r="D24" s="7" t="s">
        <v>56</v>
      </c>
      <c r="E24" s="7">
        <v>30</v>
      </c>
      <c r="F24" s="6">
        <v>2</v>
      </c>
      <c r="G24" s="6">
        <v>15</v>
      </c>
      <c r="H24" s="6">
        <v>0</v>
      </c>
      <c r="K24" s="6">
        <v>6</v>
      </c>
      <c r="L24" s="6">
        <v>400</v>
      </c>
      <c r="M24" s="6">
        <v>0</v>
      </c>
      <c r="N24" s="6">
        <v>0</v>
      </c>
    </row>
    <row r="25" s="6" customFormat="1"/>
    <row r="26" s="6" customFormat="1"/>
    <row r="27" s="6" customFormat="1"/>
    <row r="28" s="6" customFormat="1"/>
    <row r="29" s="6" customFormat="1"/>
  </sheetData>
  <dataValidations count="1">
    <dataValidation type="list" allowBlank="1" showInputMessage="1" showErrorMessage="1" sqref="B4:N4">
      <formula1>数据类型!$B$2:$B$56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"/>
  <sheetViews>
    <sheetView zoomScale="160" zoomScaleNormal="160" workbookViewId="0">
      <selection activeCell="F19" sqref="F19:G20"/>
    </sheetView>
  </sheetViews>
  <sheetFormatPr defaultColWidth="9" defaultRowHeight="13.5" outlineLevelRow="3"/>
  <cols>
    <col min="1" max="1" width="22.6083333333333" customWidth="1"/>
    <col min="2" max="2" width="20" customWidth="1"/>
    <col min="3" max="3" width="18.25" customWidth="1"/>
    <col min="4" max="4" width="18.825" customWidth="1"/>
    <col min="5" max="5" width="15.1666666666667" customWidth="1"/>
    <col min="6" max="6" width="14.7416666666667" customWidth="1"/>
    <col min="7" max="7" width="15.4333333333333" customWidth="1"/>
    <col min="8" max="8" width="17.4083333333333" customWidth="1"/>
    <col min="9" max="9" width="20.425" customWidth="1"/>
    <col min="10" max="10" width="23.525" customWidth="1"/>
  </cols>
  <sheetData>
    <row r="1" ht="57" spans="1:10">
      <c r="A1" s="3" t="s">
        <v>0</v>
      </c>
      <c r="B1" s="3" t="s">
        <v>94</v>
      </c>
      <c r="C1" s="3" t="s">
        <v>95</v>
      </c>
      <c r="D1" s="3" t="s">
        <v>96</v>
      </c>
      <c r="E1" s="3" t="s">
        <v>60</v>
      </c>
      <c r="F1" s="3" t="s">
        <v>60</v>
      </c>
      <c r="G1" s="3" t="s">
        <v>61</v>
      </c>
      <c r="H1" s="3" t="s">
        <v>62</v>
      </c>
      <c r="I1" s="3" t="s">
        <v>63</v>
      </c>
      <c r="J1" s="3" t="s">
        <v>64</v>
      </c>
    </row>
    <row r="2" ht="14.25" spans="1:10">
      <c r="A2" s="4" t="s">
        <v>11</v>
      </c>
      <c r="B2" s="5">
        <v>1</v>
      </c>
      <c r="C2" s="5">
        <v>2</v>
      </c>
      <c r="D2" s="5">
        <v>2</v>
      </c>
      <c r="E2" s="5">
        <v>2</v>
      </c>
      <c r="F2" s="5">
        <v>2</v>
      </c>
      <c r="G2" s="5">
        <v>2</v>
      </c>
      <c r="H2" s="5">
        <v>2</v>
      </c>
      <c r="I2" s="5">
        <v>2</v>
      </c>
      <c r="J2" s="5">
        <v>3</v>
      </c>
    </row>
    <row r="3" ht="14.25" spans="1:10">
      <c r="A3" s="4" t="s">
        <v>12</v>
      </c>
      <c r="B3" s="5" t="s">
        <v>97</v>
      </c>
      <c r="C3" s="5" t="s">
        <v>70</v>
      </c>
      <c r="D3" s="5" t="s">
        <v>98</v>
      </c>
      <c r="E3" s="5" t="s">
        <v>71</v>
      </c>
      <c r="F3" s="5" t="s">
        <v>71</v>
      </c>
      <c r="G3" s="5" t="s">
        <v>72</v>
      </c>
      <c r="H3" s="5" t="s">
        <v>73</v>
      </c>
      <c r="I3" s="5" t="s">
        <v>74</v>
      </c>
      <c r="J3" s="5" t="s">
        <v>75</v>
      </c>
    </row>
    <row r="4" ht="14.25" spans="1:10">
      <c r="A4" s="4" t="s">
        <v>23</v>
      </c>
      <c r="B4" s="5" t="s">
        <v>24</v>
      </c>
      <c r="C4" s="5" t="s">
        <v>25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24</v>
      </c>
      <c r="I4" s="5" t="s">
        <v>24</v>
      </c>
      <c r="J4" s="5" t="s">
        <v>81</v>
      </c>
    </row>
  </sheetData>
  <dataValidations count="1">
    <dataValidation type="list" allowBlank="1" showInputMessage="1" showErrorMessage="1" sqref="B4:J4">
      <formula1>数据类型!$B$2:$B$56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E38"/>
  <sheetViews>
    <sheetView workbookViewId="0">
      <selection activeCell="D21" sqref="D21"/>
    </sheetView>
  </sheetViews>
  <sheetFormatPr defaultColWidth="9" defaultRowHeight="13.5" outlineLevelCol="4"/>
  <cols>
    <col min="1" max="2" width="13.75" customWidth="1"/>
    <col min="3" max="3" width="10.375" customWidth="1"/>
    <col min="4" max="4" width="129.375" customWidth="1"/>
    <col min="5" max="5" width="28.25" customWidth="1"/>
  </cols>
  <sheetData>
    <row r="1" spans="1:5">
      <c r="A1" s="1" t="s">
        <v>99</v>
      </c>
      <c r="B1" s="1" t="s">
        <v>100</v>
      </c>
      <c r="C1" s="1" t="s">
        <v>101</v>
      </c>
      <c r="D1" s="1" t="s">
        <v>102</v>
      </c>
      <c r="E1" s="1" t="s">
        <v>103</v>
      </c>
    </row>
    <row r="2" spans="1:5">
      <c r="A2" s="2">
        <v>1</v>
      </c>
      <c r="B2" s="2" t="s">
        <v>26</v>
      </c>
      <c r="C2" s="2" t="s">
        <v>104</v>
      </c>
      <c r="D2" s="2" t="s">
        <v>105</v>
      </c>
      <c r="E2" s="2" t="s">
        <v>106</v>
      </c>
    </row>
    <row r="3" spans="1:5">
      <c r="A3" s="2">
        <v>2</v>
      </c>
      <c r="B3" s="2" t="s">
        <v>107</v>
      </c>
      <c r="C3" s="2" t="s">
        <v>108</v>
      </c>
      <c r="D3" s="2" t="s">
        <v>109</v>
      </c>
      <c r="E3" s="2" t="s">
        <v>110</v>
      </c>
    </row>
    <row r="4" spans="1:5">
      <c r="A4" s="2">
        <v>3</v>
      </c>
      <c r="B4" s="2" t="s">
        <v>24</v>
      </c>
      <c r="C4" s="2" t="s">
        <v>108</v>
      </c>
      <c r="D4" s="2" t="s">
        <v>111</v>
      </c>
      <c r="E4" s="2" t="s">
        <v>112</v>
      </c>
    </row>
    <row r="5" spans="1:5">
      <c r="A5" s="2">
        <v>4</v>
      </c>
      <c r="B5" s="2" t="s">
        <v>113</v>
      </c>
      <c r="C5" s="2" t="s">
        <v>108</v>
      </c>
      <c r="D5" s="2" t="s">
        <v>114</v>
      </c>
      <c r="E5" s="2" t="s">
        <v>115</v>
      </c>
    </row>
    <row r="6" spans="1:5">
      <c r="A6" s="2">
        <v>5</v>
      </c>
      <c r="B6" s="2" t="s">
        <v>82</v>
      </c>
      <c r="C6" s="2" t="s">
        <v>108</v>
      </c>
      <c r="D6" s="2" t="s">
        <v>116</v>
      </c>
      <c r="E6" s="2" t="s">
        <v>117</v>
      </c>
    </row>
    <row r="7" spans="1:5">
      <c r="A7" s="2">
        <v>6</v>
      </c>
      <c r="B7" s="2" t="s">
        <v>25</v>
      </c>
      <c r="C7" s="2"/>
      <c r="D7" s="2" t="s">
        <v>118</v>
      </c>
      <c r="E7" s="2" t="s">
        <v>119</v>
      </c>
    </row>
    <row r="8" spans="1:5">
      <c r="A8" s="2">
        <v>7</v>
      </c>
      <c r="B8" s="2" t="s">
        <v>120</v>
      </c>
      <c r="C8" s="2" t="s">
        <v>121</v>
      </c>
      <c r="D8" s="2" t="s">
        <v>122</v>
      </c>
      <c r="E8" s="2" t="s">
        <v>123</v>
      </c>
    </row>
    <row r="9" spans="1:5">
      <c r="A9" s="2">
        <v>8</v>
      </c>
      <c r="B9" s="2" t="s">
        <v>124</v>
      </c>
      <c r="C9" s="2" t="s">
        <v>121</v>
      </c>
      <c r="D9" s="2" t="s">
        <v>125</v>
      </c>
      <c r="E9" s="2" t="s">
        <v>126</v>
      </c>
    </row>
    <row r="10" spans="1:5">
      <c r="A10" s="2">
        <v>9</v>
      </c>
      <c r="B10" s="2" t="s">
        <v>28</v>
      </c>
      <c r="C10" s="2" t="s">
        <v>121</v>
      </c>
      <c r="D10" s="2" t="s">
        <v>127</v>
      </c>
      <c r="E10" s="2" t="s">
        <v>128</v>
      </c>
    </row>
    <row r="11" spans="1:5">
      <c r="A11" s="2">
        <v>10</v>
      </c>
      <c r="B11" s="2" t="s">
        <v>129</v>
      </c>
      <c r="C11" s="2" t="s">
        <v>121</v>
      </c>
      <c r="D11" s="2" t="s">
        <v>130</v>
      </c>
      <c r="E11" s="2" t="s">
        <v>131</v>
      </c>
    </row>
    <row r="12" spans="1:5">
      <c r="A12" s="2">
        <v>11</v>
      </c>
      <c r="B12" s="2" t="s">
        <v>132</v>
      </c>
      <c r="C12" s="2" t="s">
        <v>121</v>
      </c>
      <c r="D12" s="2" t="s">
        <v>133</v>
      </c>
      <c r="E12" s="2" t="s">
        <v>134</v>
      </c>
    </row>
    <row r="13" spans="1:5">
      <c r="A13" s="2">
        <v>12</v>
      </c>
      <c r="B13" s="2" t="s">
        <v>135</v>
      </c>
      <c r="C13" s="2" t="s">
        <v>121</v>
      </c>
      <c r="D13" s="2" t="s">
        <v>136</v>
      </c>
    </row>
    <row r="14" spans="1:5">
      <c r="A14" s="2">
        <v>13</v>
      </c>
      <c r="B14" s="2" t="s">
        <v>137</v>
      </c>
      <c r="C14" s="2" t="s">
        <v>138</v>
      </c>
    </row>
    <row r="15" spans="1:5">
      <c r="A15" s="2">
        <v>14</v>
      </c>
      <c r="B15" s="2" t="s">
        <v>139</v>
      </c>
      <c r="C15" s="2" t="s">
        <v>138</v>
      </c>
    </row>
    <row r="16" spans="1:5">
      <c r="A16" s="2">
        <v>15</v>
      </c>
      <c r="B16" s="2" t="s">
        <v>140</v>
      </c>
      <c r="C16" s="2" t="s">
        <v>138</v>
      </c>
    </row>
    <row r="17" spans="1:5">
      <c r="A17" s="2">
        <v>16</v>
      </c>
      <c r="B17" s="2" t="s">
        <v>141</v>
      </c>
      <c r="C17" s="2" t="s">
        <v>138</v>
      </c>
    </row>
    <row r="18" spans="1:5">
      <c r="A18" s="2">
        <v>17</v>
      </c>
      <c r="B18" s="2" t="s">
        <v>142</v>
      </c>
      <c r="C18" s="2" t="s">
        <v>138</v>
      </c>
    </row>
    <row r="19" spans="1:5">
      <c r="A19" s="2">
        <v>18</v>
      </c>
      <c r="B19" s="2" t="s">
        <v>143</v>
      </c>
      <c r="C19" s="2" t="s">
        <v>138</v>
      </c>
    </row>
    <row r="20" spans="1:5">
      <c r="A20" s="2">
        <v>19</v>
      </c>
      <c r="B20" s="2" t="s">
        <v>144</v>
      </c>
      <c r="C20" s="2" t="s">
        <v>121</v>
      </c>
    </row>
    <row r="21" spans="1:5">
      <c r="A21" s="2">
        <v>20</v>
      </c>
      <c r="B21" s="2" t="s">
        <v>145</v>
      </c>
      <c r="C21" s="2" t="s">
        <v>121</v>
      </c>
    </row>
    <row r="22" spans="1:5">
      <c r="A22" s="2">
        <v>21</v>
      </c>
      <c r="B22" s="2" t="s">
        <v>81</v>
      </c>
      <c r="C22" s="2" t="s">
        <v>121</v>
      </c>
    </row>
    <row r="23" spans="1:5">
      <c r="A23" s="2">
        <v>22</v>
      </c>
      <c r="B23" s="2" t="s">
        <v>146</v>
      </c>
      <c r="C23" s="2" t="s">
        <v>121</v>
      </c>
    </row>
    <row r="24" spans="1:5">
      <c r="A24" s="2">
        <v>23</v>
      </c>
      <c r="B24" s="2" t="s">
        <v>147</v>
      </c>
      <c r="C24" s="2" t="s">
        <v>121</v>
      </c>
    </row>
    <row r="25" spans="1:5">
      <c r="A25" s="2">
        <v>24</v>
      </c>
      <c r="B25" s="2" t="s">
        <v>148</v>
      </c>
      <c r="C25" s="2" t="s">
        <v>121</v>
      </c>
    </row>
    <row r="26" spans="1:5">
      <c r="A26" s="2">
        <v>25</v>
      </c>
      <c r="B26" s="2" t="s">
        <v>149</v>
      </c>
      <c r="C26" s="2" t="s">
        <v>150</v>
      </c>
      <c r="D26" s="2" t="s">
        <v>151</v>
      </c>
      <c r="E26" s="2" t="s">
        <v>152</v>
      </c>
    </row>
    <row r="27" spans="1:5">
      <c r="A27" s="2">
        <v>26</v>
      </c>
      <c r="B27" s="2" t="s">
        <v>153</v>
      </c>
      <c r="C27" s="2" t="s">
        <v>154</v>
      </c>
      <c r="D27" s="2" t="s">
        <v>155</v>
      </c>
      <c r="E27" s="2" t="s">
        <v>156</v>
      </c>
    </row>
    <row r="28" spans="1:5">
      <c r="A28" s="2">
        <v>27</v>
      </c>
      <c r="B28" s="2" t="s">
        <v>157</v>
      </c>
      <c r="C28" s="2" t="s">
        <v>121</v>
      </c>
      <c r="D28" s="2" t="s">
        <v>158</v>
      </c>
      <c r="E28" s="2" t="s">
        <v>159</v>
      </c>
    </row>
    <row r="29" spans="1:5">
      <c r="A29" s="2">
        <v>28</v>
      </c>
      <c r="B29" s="2" t="s">
        <v>160</v>
      </c>
      <c r="C29" s="2" t="s">
        <v>121</v>
      </c>
      <c r="D29" s="2" t="s">
        <v>161</v>
      </c>
      <c r="E29" s="2" t="s">
        <v>162</v>
      </c>
    </row>
    <row r="30" spans="1:5">
      <c r="A30" s="2">
        <v>29</v>
      </c>
      <c r="B30" s="2" t="s">
        <v>27</v>
      </c>
      <c r="C30" s="2" t="s">
        <v>163</v>
      </c>
      <c r="D30" s="2" t="s">
        <v>164</v>
      </c>
    </row>
    <row r="31" spans="1:5">
      <c r="A31" s="2">
        <v>30</v>
      </c>
      <c r="B31" s="2" t="s">
        <v>165</v>
      </c>
      <c r="C31" s="2" t="s">
        <v>154</v>
      </c>
      <c r="D31" s="2" t="s">
        <v>166</v>
      </c>
      <c r="E31" s="2" t="s">
        <v>85</v>
      </c>
    </row>
    <row r="32" spans="1:5">
      <c r="A32" s="2">
        <v>31</v>
      </c>
      <c r="B32" s="2" t="s">
        <v>167</v>
      </c>
      <c r="C32" s="2" t="s">
        <v>108</v>
      </c>
      <c r="D32" s="2" t="s">
        <v>168</v>
      </c>
      <c r="E32" s="2" t="s">
        <v>169</v>
      </c>
    </row>
    <row r="33" spans="1:5">
      <c r="A33" s="2">
        <v>32</v>
      </c>
      <c r="B33" s="2" t="s">
        <v>170</v>
      </c>
      <c r="C33" s="2" t="s">
        <v>171</v>
      </c>
      <c r="D33" s="2" t="s">
        <v>172</v>
      </c>
      <c r="E33" s="2" t="s">
        <v>171</v>
      </c>
    </row>
    <row r="34" spans="1:5">
      <c r="A34" s="2">
        <v>33</v>
      </c>
      <c r="B34" s="2" t="s">
        <v>173</v>
      </c>
      <c r="C34" s="2" t="s">
        <v>174</v>
      </c>
      <c r="D34" s="2" t="s">
        <v>175</v>
      </c>
      <c r="E34" s="2" t="s">
        <v>174</v>
      </c>
    </row>
    <row r="35" spans="1:5">
      <c r="A35" s="2">
        <v>34</v>
      </c>
      <c r="B35" s="2" t="s">
        <v>176</v>
      </c>
      <c r="C35" s="2" t="s">
        <v>121</v>
      </c>
      <c r="D35" s="2" t="s">
        <v>177</v>
      </c>
      <c r="E35" s="2" t="s">
        <v>85</v>
      </c>
    </row>
    <row r="36" spans="1:5">
      <c r="A36" s="2">
        <v>35</v>
      </c>
      <c r="B36" s="2" t="s">
        <v>178</v>
      </c>
      <c r="C36" s="2"/>
      <c r="D36" s="2" t="s">
        <v>179</v>
      </c>
      <c r="E36" s="2" t="s">
        <v>180</v>
      </c>
    </row>
    <row r="37" spans="1:5">
      <c r="A37" s="2">
        <v>36</v>
      </c>
      <c r="B37" s="2" t="s">
        <v>181</v>
      </c>
      <c r="C37" s="2"/>
      <c r="D37" s="2" t="s">
        <v>182</v>
      </c>
    </row>
    <row r="38" spans="1:5">
      <c r="A38" s="2">
        <v>37</v>
      </c>
      <c r="B38" s="2" t="s">
        <v>183</v>
      </c>
      <c r="C38" s="2" t="s">
        <v>121</v>
      </c>
      <c r="D38" s="2" t="s">
        <v>184</v>
      </c>
      <c r="E38" s="2" t="s">
        <v>185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cfg_BulletData_子弹基础数据表</vt:lpstr>
      <vt:lpstr>cfg_BulletLogic_实体子弹逻辑表</vt:lpstr>
      <vt:lpstr>cfg_LaserBulletLogic_激光子弹逻辑表</vt:lpstr>
      <vt:lpstr>数据类型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NO</cp:lastModifiedBy>
  <dcterms:created xsi:type="dcterms:W3CDTF">2023-05-12T11:15:00Z</dcterms:created>
  <dcterms:modified xsi:type="dcterms:W3CDTF">2026-01-31T18:38:57Z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EAB0E59D0FDF44CF82D480CC6A5EB29A_12</vt:lpwstr>
  </property>
  <property fmtid="{D5CDD505-2E9C-101B-9397-08002B2CF9AE}" pid="4" name="CalculationRule">
    <vt:i4>0</vt:i4>
  </property>
</Properties>
</file>