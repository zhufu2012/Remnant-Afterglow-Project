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nnections.xml" ContentType="application/vnd.openxmlformats-officedocument.spreadsheetml.connections+xml"/>
  <Override PartName="/xl/queryTables/queryTable1.xml" ContentType="application/vnd.openxmlformats-officedocument.spreadsheetml.query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cfg_MapBuildLable_建造列表标签" sheetId="3" r:id="rId1"/>
    <sheet name="cfg_MapBuildItem_建造项数据" sheetId="4" r:id="rId2"/>
    <sheet name="cfg_BuildRule_建造规则" sheetId="5" r:id="rId3"/>
    <sheet name="数据类型" sheetId="2" r:id="rId4"/>
  </sheets>
  <definedNames>
    <definedName name="ExternalData_1" localSheetId="3">数据类型!#REF!</definedName>
    <definedName name="数据类型_Sheet1" localSheetId="3">数据类型!#REF!</definedName>
    <definedName name="连接" localSheetId="3">数据类型!$A$1:$E$38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5" name="ID_11DB952DD681473FB4EE03EACB5972B0" descr="采集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171055" y="1675130"/>
          <a:ext cx="372745" cy="133350"/>
        </a:xfrm>
        <a:prstGeom prst="rect">
          <a:avLst/>
        </a:prstGeom>
      </xdr:spPr>
    </xdr:pic>
  </etc:cellImage>
  <etc:cellImage>
    <xdr:pic>
      <xdr:nvPicPr>
        <xdr:cNvPr id="6" name="ID_EC401C8039E74F3C84707592782ADD42" descr="防御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7058025" y="2595245"/>
          <a:ext cx="370840" cy="132080"/>
        </a:xfrm>
        <a:prstGeom prst="rect">
          <a:avLst/>
        </a:prstGeom>
      </xdr:spPr>
    </xdr:pic>
  </etc:cellImage>
  <etc:cellImage>
    <xdr:pic>
      <xdr:nvPicPr>
        <xdr:cNvPr id="12" name="ID_2124E37D571A45A3B82A1CE67C386555" descr="辅助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7158990" y="2651125"/>
          <a:ext cx="373380" cy="133350"/>
        </a:xfrm>
        <a:prstGeom prst="rect">
          <a:avLst/>
        </a:prstGeom>
      </xdr:spPr>
    </xdr:pic>
  </etc:cellImage>
  <etc:cellImage>
    <xdr:pic>
      <xdr:nvPicPr>
        <xdr:cNvPr id="13" name="ID_4B26897A75EF45748134189E36944612" descr="武器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7296150" y="1850390"/>
          <a:ext cx="373380" cy="132715"/>
        </a:xfrm>
        <a:prstGeom prst="rect">
          <a:avLst/>
        </a:prstGeom>
      </xdr:spPr>
    </xdr:pic>
  </etc:cellImage>
  <etc:cellImage>
    <xdr:pic>
      <xdr:nvPicPr>
        <xdr:cNvPr id="17" name="ID_9A93E3C46F41412AB0D4E893DC8D978B" descr="治疗塔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0394950" y="4368165"/>
          <a:ext cx="187325" cy="184785"/>
        </a:xfrm>
        <a:prstGeom prst="rect">
          <a:avLst/>
        </a:prstGeom>
      </xdr:spPr>
    </xdr:pic>
  </etc:cellImage>
  <etc:cellImage>
    <xdr:pic>
      <xdr:nvPicPr>
        <xdr:cNvPr id="31" name="ID_4DD065F10B904CEEBE53037F0D8B234C" descr="挖掘钻机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0723880" y="1670050"/>
          <a:ext cx="226695" cy="233680"/>
        </a:xfrm>
        <a:prstGeom prst="rect">
          <a:avLst/>
        </a:prstGeom>
      </xdr:spPr>
    </xdr:pic>
  </etc:cellImage>
  <etc:cellImage>
    <xdr:pic>
      <xdr:nvPicPr>
        <xdr:cNvPr id="32" name="ID_401B3EE15EFC42E2A51680A8A27FC56A" descr="水晶提取器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0658475" y="2357755"/>
          <a:ext cx="226695" cy="234950"/>
        </a:xfrm>
        <a:prstGeom prst="rect">
          <a:avLst/>
        </a:prstGeom>
      </xdr:spPr>
    </xdr:pic>
  </etc:cellImage>
  <etc:cellImage>
    <xdr:pic>
      <xdr:nvPicPr>
        <xdr:cNvPr id="33" name="ID_D3CF77A34ED74C60A4D34D28401FAC99" descr="收解台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10557510" y="1841500"/>
          <a:ext cx="226695" cy="233680"/>
        </a:xfrm>
        <a:prstGeom prst="rect">
          <a:avLst/>
        </a:prstGeom>
      </xdr:spPr>
    </xdr:pic>
  </etc:cellImage>
  <etc:cellImage>
    <xdr:pic>
      <xdr:nvPicPr>
        <xdr:cNvPr id="34" name="ID_BE62D6D9713E4A499F1FD96509C95087" descr="射空塔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10843260" y="4758690"/>
          <a:ext cx="229235" cy="233680"/>
        </a:xfrm>
        <a:prstGeom prst="rect">
          <a:avLst/>
        </a:prstGeom>
      </xdr:spPr>
    </xdr:pic>
  </etc:cellImage>
  <etc:cellImage>
    <xdr:pic>
      <xdr:nvPicPr>
        <xdr:cNvPr id="35" name="ID_C8F0AFCF7F804860AFE706068B7163EB" descr="射击塔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0765790" y="3893185"/>
          <a:ext cx="226695" cy="233680"/>
        </a:xfrm>
        <a:prstGeom prst="rect">
          <a:avLst/>
        </a:prstGeom>
      </xdr:spPr>
    </xdr:pic>
  </etc:cellImage>
  <etc:cellImage>
    <xdr:pic>
      <xdr:nvPicPr>
        <xdr:cNvPr id="36" name="ID_3409CEDB9E1E4609B71E380924FF3316" descr="熔炉平台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10866755" y="2066925"/>
          <a:ext cx="229235" cy="233680"/>
        </a:xfrm>
        <a:prstGeom prst="rect">
          <a:avLst/>
        </a:prstGeom>
      </xdr:spPr>
    </xdr:pic>
  </etc:cellImage>
  <etc:cellImage>
    <xdr:pic>
      <xdr:nvPicPr>
        <xdr:cNvPr id="38" name="ID_299AF8C9EFC1444383821DEB1338C764" descr="布局节点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10765790" y="6753860"/>
          <a:ext cx="226695" cy="234950"/>
        </a:xfrm>
        <a:prstGeom prst="rect">
          <a:avLst/>
        </a:prstGeom>
      </xdr:spPr>
    </xdr:pic>
  </etc:cellImage>
  <etc:cellImage>
    <xdr:pic>
      <xdr:nvPicPr>
        <xdr:cNvPr id="39" name="ID_DC2A35A3F4D34A5288D083B243CFC007" descr="防御墙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10884535" y="6479540"/>
          <a:ext cx="229235" cy="229235"/>
        </a:xfrm>
        <a:prstGeom prst="rect">
          <a:avLst/>
        </a:prstGeom>
      </xdr:spPr>
    </xdr:pic>
  </etc:cellImage>
  <etc:cellImage>
    <xdr:pic>
      <xdr:nvPicPr>
        <xdr:cNvPr id="41" name="ID_9F3D06959AED4D66A6D39063334AB0CA" descr="光子塔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10503535" y="4296410"/>
          <a:ext cx="226695" cy="233680"/>
        </a:xfrm>
        <a:prstGeom prst="rect">
          <a:avLst/>
        </a:prstGeom>
      </xdr:spPr>
    </xdr:pic>
  </etc:cellImage>
  <etc:cellImage>
    <xdr:pic>
      <xdr:nvPicPr>
        <xdr:cNvPr id="44" name="ID_4C60F2B61952492F88D24C28FDA4086E" descr="治疗塔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10718165" y="5302885"/>
          <a:ext cx="228600" cy="231775"/>
        </a:xfrm>
        <a:prstGeom prst="rect">
          <a:avLst/>
        </a:prstGeom>
      </xdr:spPr>
    </xdr:pic>
  </etc:cellImage>
  <etc:cellImage>
    <xdr:pic>
      <xdr:nvPicPr>
        <xdr:cNvPr id="19" name="ID_D2692EF3A7DF4D34B85C8129CBBD17A1" descr="阻马"/>
        <xdr:cNvPicPr>
          <a:picLocks noChangeAspect="1"/>
        </xdr:cNvPicPr>
      </xdr:nvPicPr>
      <xdr:blipFill>
        <a:blip r:embed="rId16"/>
        <a:stretch>
          <a:fillRect/>
        </a:stretch>
      </xdr:blipFill>
      <xdr:spPr>
        <a:xfrm>
          <a:off x="10889615" y="10495280"/>
          <a:ext cx="224790" cy="226695"/>
        </a:xfrm>
        <a:prstGeom prst="rect">
          <a:avLst/>
        </a:prstGeom>
      </xdr:spPr>
    </xdr:pic>
  </etc:cellImage>
  <etc:cellImage>
    <xdr:pic>
      <xdr:nvPicPr>
        <xdr:cNvPr id="18" name="ID_83C81FEEAF8243E081906A9205D7D5F6" descr="重组塔"/>
        <xdr:cNvPicPr>
          <a:picLocks noChangeAspect="1"/>
        </xdr:cNvPicPr>
      </xdr:nvPicPr>
      <xdr:blipFill>
        <a:blip r:embed="rId17"/>
        <a:stretch>
          <a:fillRect/>
        </a:stretch>
      </xdr:blipFill>
      <xdr:spPr>
        <a:xfrm>
          <a:off x="10229850" y="10336530"/>
          <a:ext cx="226060" cy="226060"/>
        </a:xfrm>
        <a:prstGeom prst="rect">
          <a:avLst/>
        </a:prstGeom>
      </xdr:spPr>
    </xdr:pic>
  </etc:cellImage>
  <etc:cellImage>
    <xdr:pic>
      <xdr:nvPicPr>
        <xdr:cNvPr id="3" name="ID_891DB17444E4460F8ADE36249FCD7394" descr="镇压塔"/>
        <xdr:cNvPicPr>
          <a:picLocks noChangeAspect="1"/>
        </xdr:cNvPicPr>
      </xdr:nvPicPr>
      <xdr:blipFill>
        <a:blip r:embed="rId18"/>
        <a:stretch>
          <a:fillRect/>
        </a:stretch>
      </xdr:blipFill>
      <xdr:spPr>
        <a:xfrm>
          <a:off x="10567035" y="10170160"/>
          <a:ext cx="226060" cy="226695"/>
        </a:xfrm>
        <a:prstGeom prst="rect">
          <a:avLst/>
        </a:prstGeom>
      </xdr:spPr>
    </xdr:pic>
  </etc:cellImage>
  <etc:cellImage>
    <xdr:pic>
      <xdr:nvPicPr>
        <xdr:cNvPr id="16" name="ID_B520E760974E42508AF90D8EC86B3524" descr="战术地刺"/>
        <xdr:cNvPicPr>
          <a:picLocks noChangeAspect="1"/>
        </xdr:cNvPicPr>
      </xdr:nvPicPr>
      <xdr:blipFill>
        <a:blip r:embed="rId19"/>
        <a:stretch>
          <a:fillRect/>
        </a:stretch>
      </xdr:blipFill>
      <xdr:spPr>
        <a:xfrm>
          <a:off x="10859770" y="9967595"/>
          <a:ext cx="224790" cy="226060"/>
        </a:xfrm>
        <a:prstGeom prst="rect">
          <a:avLst/>
        </a:prstGeom>
      </xdr:spPr>
    </xdr:pic>
  </etc:cellImage>
  <etc:cellImage>
    <xdr:pic>
      <xdr:nvPicPr>
        <xdr:cNvPr id="15" name="ID_B404A0E0A57B49BB870ED498C8D11B95" descr="瓦解塔"/>
        <xdr:cNvPicPr>
          <a:picLocks noChangeAspect="1"/>
        </xdr:cNvPicPr>
      </xdr:nvPicPr>
      <xdr:blipFill>
        <a:blip r:embed="rId20"/>
        <a:stretch>
          <a:fillRect/>
        </a:stretch>
      </xdr:blipFill>
      <xdr:spPr>
        <a:xfrm>
          <a:off x="9914890" y="9822815"/>
          <a:ext cx="226060" cy="226695"/>
        </a:xfrm>
        <a:prstGeom prst="rect">
          <a:avLst/>
        </a:prstGeom>
      </xdr:spPr>
    </xdr:pic>
  </etc:cellImage>
  <etc:cellImage>
    <xdr:pic>
      <xdr:nvPicPr>
        <xdr:cNvPr id="14" name="ID_44D9B418C1C54BBCA547494EABBCE28D" descr="闪耀塔"/>
        <xdr:cNvPicPr>
          <a:picLocks noChangeAspect="1"/>
        </xdr:cNvPicPr>
      </xdr:nvPicPr>
      <xdr:blipFill>
        <a:blip r:embed="rId21"/>
        <a:stretch>
          <a:fillRect/>
        </a:stretch>
      </xdr:blipFill>
      <xdr:spPr>
        <a:xfrm>
          <a:off x="10508615" y="9612630"/>
          <a:ext cx="226060" cy="226060"/>
        </a:xfrm>
        <a:prstGeom prst="rect">
          <a:avLst/>
        </a:prstGeom>
      </xdr:spPr>
    </xdr:pic>
  </etc:cellImage>
  <etc:cellImage>
    <xdr:pic>
      <xdr:nvPicPr>
        <xdr:cNvPr id="4" name="ID_0EFBED2547A44F7E8365B09D7681E597" descr="闪电塔"/>
        <xdr:cNvPicPr>
          <a:picLocks noChangeAspect="1"/>
        </xdr:cNvPicPr>
      </xdr:nvPicPr>
      <xdr:blipFill>
        <a:blip r:embed="rId22"/>
        <a:stretch>
          <a:fillRect/>
        </a:stretch>
      </xdr:blipFill>
      <xdr:spPr>
        <a:xfrm>
          <a:off x="10970260" y="9446260"/>
          <a:ext cx="224790" cy="226695"/>
        </a:xfrm>
        <a:prstGeom prst="rect">
          <a:avLst/>
        </a:prstGeom>
      </xdr:spPr>
    </xdr:pic>
  </etc:cellImage>
  <etc:cellImage>
    <xdr:pic>
      <xdr:nvPicPr>
        <xdr:cNvPr id="7" name="ID_82C739C91395468DA06FBF117861F13A" descr="散射塔"/>
        <xdr:cNvPicPr>
          <a:picLocks noChangeAspect="1"/>
        </xdr:cNvPicPr>
      </xdr:nvPicPr>
      <xdr:blipFill>
        <a:blip r:embed="rId23"/>
        <a:stretch>
          <a:fillRect/>
        </a:stretch>
      </xdr:blipFill>
      <xdr:spPr>
        <a:xfrm>
          <a:off x="10244455" y="9272905"/>
          <a:ext cx="226060" cy="226060"/>
        </a:xfrm>
        <a:prstGeom prst="rect">
          <a:avLst/>
        </a:prstGeom>
      </xdr:spPr>
    </xdr:pic>
  </etc:cellImage>
  <etc:cellImage>
    <xdr:pic>
      <xdr:nvPicPr>
        <xdr:cNvPr id="8" name="ID_6AB2AB516DE244D0878F5B322C51EDE8" descr="布雷器"/>
        <xdr:cNvPicPr>
          <a:picLocks noChangeAspect="1"/>
        </xdr:cNvPicPr>
      </xdr:nvPicPr>
      <xdr:blipFill>
        <a:blip r:embed="rId24"/>
        <a:stretch>
          <a:fillRect/>
        </a:stretch>
      </xdr:blipFill>
      <xdr:spPr>
        <a:xfrm>
          <a:off x="10508615" y="7802880"/>
          <a:ext cx="226060" cy="226695"/>
        </a:xfrm>
        <a:prstGeom prst="rect">
          <a:avLst/>
        </a:prstGeom>
      </xdr:spPr>
    </xdr:pic>
  </etc:cellImage>
  <etc:cellImage>
    <xdr:pic>
      <xdr:nvPicPr>
        <xdr:cNvPr id="9" name="ID_34FBB8D69695424CB6AE853BC927D098" descr="地堡"/>
        <xdr:cNvPicPr>
          <a:picLocks noChangeAspect="1"/>
        </xdr:cNvPicPr>
      </xdr:nvPicPr>
      <xdr:blipFill>
        <a:blip r:embed="rId25"/>
        <a:stretch>
          <a:fillRect/>
        </a:stretch>
      </xdr:blipFill>
      <xdr:spPr>
        <a:xfrm>
          <a:off x="10259060" y="7998460"/>
          <a:ext cx="226060" cy="226060"/>
        </a:xfrm>
        <a:prstGeom prst="rect">
          <a:avLst/>
        </a:prstGeom>
      </xdr:spPr>
    </xdr:pic>
  </etc:cellImage>
  <etc:cellImage>
    <xdr:pic>
      <xdr:nvPicPr>
        <xdr:cNvPr id="10" name="ID_9AD385B82DA343FAAA9418C2D9F8DE69" descr="机枪塔"/>
        <xdr:cNvPicPr>
          <a:picLocks noChangeAspect="1"/>
        </xdr:cNvPicPr>
      </xdr:nvPicPr>
      <xdr:blipFill>
        <a:blip r:embed="rId26"/>
        <a:stretch>
          <a:fillRect/>
        </a:stretch>
      </xdr:blipFill>
      <xdr:spPr>
        <a:xfrm>
          <a:off x="10127615" y="8171815"/>
          <a:ext cx="226060" cy="226695"/>
        </a:xfrm>
        <a:prstGeom prst="rect">
          <a:avLst/>
        </a:prstGeom>
      </xdr:spPr>
    </xdr:pic>
  </etc:cellImage>
  <etc:cellImage>
    <xdr:pic>
      <xdr:nvPicPr>
        <xdr:cNvPr id="11" name="ID_BDB308A3E72F427595AC1A9A75902D33" descr="加农炮塔"/>
        <xdr:cNvPicPr>
          <a:picLocks noChangeAspect="1"/>
        </xdr:cNvPicPr>
      </xdr:nvPicPr>
      <xdr:blipFill>
        <a:blip r:embed="rId27"/>
        <a:stretch>
          <a:fillRect/>
        </a:stretch>
      </xdr:blipFill>
      <xdr:spPr>
        <a:xfrm>
          <a:off x="10772140" y="8331200"/>
          <a:ext cx="226060" cy="226060"/>
        </a:xfrm>
        <a:prstGeom prst="rect">
          <a:avLst/>
        </a:prstGeom>
      </xdr:spPr>
    </xdr:pic>
  </etc:cellImage>
  <etc:cellImage>
    <xdr:pic>
      <xdr:nvPicPr>
        <xdr:cNvPr id="20" name="ID_2B06411C3F664BF2B58BF091E079939F" descr="狙击塔"/>
        <xdr:cNvPicPr>
          <a:picLocks noChangeAspect="1"/>
        </xdr:cNvPicPr>
      </xdr:nvPicPr>
      <xdr:blipFill>
        <a:blip r:embed="rId28"/>
        <a:stretch>
          <a:fillRect/>
        </a:stretch>
      </xdr:blipFill>
      <xdr:spPr>
        <a:xfrm>
          <a:off x="10332720" y="8533765"/>
          <a:ext cx="226060" cy="226695"/>
        </a:xfrm>
        <a:prstGeom prst="rect">
          <a:avLst/>
        </a:prstGeom>
      </xdr:spPr>
    </xdr:pic>
  </etc:cellImage>
  <etc:cellImage>
    <xdr:pic>
      <xdr:nvPicPr>
        <xdr:cNvPr id="22" name="ID_63712A02DDCC4249825D599FFD1FB841" descr="破闪塔"/>
        <xdr:cNvPicPr>
          <a:picLocks noChangeAspect="1"/>
        </xdr:cNvPicPr>
      </xdr:nvPicPr>
      <xdr:blipFill>
        <a:blip r:embed="rId29"/>
        <a:stretch>
          <a:fillRect/>
        </a:stretch>
      </xdr:blipFill>
      <xdr:spPr>
        <a:xfrm>
          <a:off x="10859770" y="8714740"/>
          <a:ext cx="224790" cy="226695"/>
        </a:xfrm>
        <a:prstGeom prst="rect">
          <a:avLst/>
        </a:prstGeom>
      </xdr:spPr>
    </xdr:pic>
  </etc:cellImage>
  <etc:cellImage>
    <xdr:pic>
      <xdr:nvPicPr>
        <xdr:cNvPr id="23" name="ID_9C795C3DFD604D0BBE164CAF635BE94D" descr="热熔塔"/>
        <xdr:cNvPicPr>
          <a:picLocks noChangeAspect="1"/>
        </xdr:cNvPicPr>
      </xdr:nvPicPr>
      <xdr:blipFill>
        <a:blip r:embed="rId30"/>
        <a:stretch>
          <a:fillRect/>
        </a:stretch>
      </xdr:blipFill>
      <xdr:spPr>
        <a:xfrm>
          <a:off x="10178415" y="8859520"/>
          <a:ext cx="226060" cy="226060"/>
        </a:xfrm>
        <a:prstGeom prst="rect">
          <a:avLst/>
        </a:prstGeom>
      </xdr:spPr>
    </xdr:pic>
  </etc:cellImage>
  <etc:cellImage>
    <xdr:pic>
      <xdr:nvPicPr>
        <xdr:cNvPr id="24" name="ID_C65D6D99F84541ABA9BF3404D66C1487" descr="熔岩塔"/>
        <xdr:cNvPicPr>
          <a:picLocks noChangeAspect="1"/>
        </xdr:cNvPicPr>
      </xdr:nvPicPr>
      <xdr:blipFill>
        <a:blip r:embed="rId31"/>
        <a:stretch>
          <a:fillRect/>
        </a:stretch>
      </xdr:blipFill>
      <xdr:spPr>
        <a:xfrm>
          <a:off x="10838180" y="9047480"/>
          <a:ext cx="226060" cy="226695"/>
        </a:xfrm>
        <a:prstGeom prst="rect">
          <a:avLst/>
        </a:prstGeom>
      </xdr:spPr>
    </xdr:pic>
  </etc:cellImage>
  <etc:cellImage>
    <xdr:pic>
      <xdr:nvPicPr>
        <xdr:cNvPr id="25" name="ID_80FC7EF21F1740B093A0240AFF3D6DEB" descr="迫击炮塔"/>
        <xdr:cNvPicPr>
          <a:picLocks noChangeAspect="1"/>
        </xdr:cNvPicPr>
      </xdr:nvPicPr>
      <xdr:blipFill>
        <a:blip r:embed="rId32"/>
        <a:stretch>
          <a:fillRect/>
        </a:stretch>
      </xdr:blipFill>
      <xdr:spPr>
        <a:xfrm>
          <a:off x="10434955" y="3732530"/>
          <a:ext cx="226060" cy="230505"/>
        </a:xfrm>
        <a:prstGeom prst="rect">
          <a:avLst/>
        </a:prstGeom>
      </xdr:spPr>
    </xdr:pic>
  </etc:cellImage>
  <etc:cellImage>
    <xdr:pic>
      <xdr:nvPicPr>
        <xdr:cNvPr id="28" name="ID_07DEC1450AFC4F3998D87D712D02686A" descr="次元凝练器"/>
        <xdr:cNvPicPr>
          <a:picLocks noChangeAspect="1"/>
        </xdr:cNvPicPr>
      </xdr:nvPicPr>
      <xdr:blipFill>
        <a:blip r:embed="rId33"/>
        <a:stretch>
          <a:fillRect/>
        </a:stretch>
      </xdr:blipFill>
      <xdr:spPr>
        <a:xfrm>
          <a:off x="10473690" y="2689225"/>
          <a:ext cx="226695" cy="229870"/>
        </a:xfrm>
        <a:prstGeom prst="rect">
          <a:avLst/>
        </a:prstGeom>
      </xdr:spPr>
    </xdr:pic>
  </etc:cellImage>
  <etc:cellImage>
    <xdr:pic>
      <xdr:nvPicPr>
        <xdr:cNvPr id="29" name="ID_771E175306A64643A328202688B1BBAB" descr="导弹无人机塔"/>
        <xdr:cNvPicPr>
          <a:picLocks noChangeAspect="1"/>
        </xdr:cNvPicPr>
      </xdr:nvPicPr>
      <xdr:blipFill>
        <a:blip r:embed="rId34"/>
        <a:stretch>
          <a:fillRect/>
        </a:stretch>
      </xdr:blipFill>
      <xdr:spPr>
        <a:xfrm>
          <a:off x="10405745" y="6515100"/>
          <a:ext cx="225425" cy="231140"/>
        </a:xfrm>
        <a:prstGeom prst="rect">
          <a:avLst/>
        </a:prstGeom>
      </xdr:spPr>
    </xdr:pic>
  </etc:cellImage>
  <etc:cellImage>
    <xdr:pic>
      <xdr:nvPicPr>
        <xdr:cNvPr id="2" name="ID_E2AAFF612EAC432190986B26A9C98BB7" descr="喷火塔"/>
        <xdr:cNvPicPr>
          <a:picLocks noChangeAspect="1"/>
        </xdr:cNvPicPr>
      </xdr:nvPicPr>
      <xdr:blipFill>
        <a:blip r:embed="rId35"/>
        <a:stretch>
          <a:fillRect/>
        </a:stretch>
      </xdr:blipFill>
      <xdr:spPr>
        <a:xfrm>
          <a:off x="10434955" y="6010275"/>
          <a:ext cx="229235" cy="235585"/>
        </a:xfrm>
        <a:prstGeom prst="rect">
          <a:avLst/>
        </a:prstGeom>
      </xdr:spPr>
    </xdr:pic>
  </etc:cellImage>
  <etc:cellImage>
    <xdr:pic>
      <xdr:nvPicPr>
        <xdr:cNvPr id="26" name="ID_F059E6008EE14803AE8A553D53CC0F42" descr="黄蜂导弹塔"/>
        <xdr:cNvPicPr>
          <a:picLocks noChangeAspect="1"/>
        </xdr:cNvPicPr>
      </xdr:nvPicPr>
      <xdr:blipFill>
        <a:blip r:embed="rId36"/>
        <a:stretch>
          <a:fillRect/>
        </a:stretch>
      </xdr:blipFill>
      <xdr:spPr>
        <a:xfrm>
          <a:off x="10757535" y="9559290"/>
          <a:ext cx="225425" cy="233045"/>
        </a:xfrm>
        <a:prstGeom prst="rect">
          <a:avLst/>
        </a:prstGeom>
      </xdr:spPr>
    </xdr:pic>
  </etc:cellImage>
  <etc:cellImage>
    <xdr:pic>
      <xdr:nvPicPr>
        <xdr:cNvPr id="21" name="ID_7FD5958D36034C6D9CEB261A1016B1BF" descr="集数投射塔"/>
        <xdr:cNvPicPr>
          <a:picLocks noChangeAspect="1"/>
        </xdr:cNvPicPr>
      </xdr:nvPicPr>
      <xdr:blipFill>
        <a:blip r:embed="rId37"/>
        <a:stretch>
          <a:fillRect/>
        </a:stretch>
      </xdr:blipFill>
      <xdr:spPr>
        <a:xfrm>
          <a:off x="10262235" y="16094710"/>
          <a:ext cx="229235" cy="222250"/>
        </a:xfrm>
        <a:prstGeom prst="rect">
          <a:avLst/>
        </a:prstGeom>
      </xdr:spPr>
    </xdr:pic>
  </etc:cellImage>
</etc:cellImages>
</file>

<file path=xl/connections.xml><?xml version="1.0" encoding="utf-8"?>
<connections xmlns="http://schemas.openxmlformats.org/spreadsheetml/2006/main">
  <connection id="1" odcFile="F:\Remnant Afterglow Project\工具\基础配置\数据类型.accdb 数据类型.odc" name="连接" type="1" refreshOnLoad="1" background="1" refreshedVersion="2" saveData="1">
    <dbPr connection="DSN=MS Access Database;DBQ=F:\REMNANT AFTERGLOW PROJECT\工具\基础配置\数据类型.accdb;DefaultDir=F:\REMNANT AFTERGLOW PROJECT\工具\基础配置;DriverId=25;FIL=MS Access;MaxBufferSize=2048;PageTimeout=5;" command="SELECT * FROM `数据类型`  ORDER BY `数据类型编号` ASC" commandType="2"/>
  </connection>
</connections>
</file>

<file path=xl/sharedStrings.xml><?xml version="1.0" encoding="utf-8"?>
<sst xmlns="http://schemas.openxmlformats.org/spreadsheetml/2006/main" count="261" uniqueCount="202">
  <si>
    <t>该表用于设置建造标签相关配置
数据不想填就写 #BASEVALUE</t>
  </si>
  <si>
    <t>建造列表标签id</t>
  </si>
  <si>
    <t>标签名称</t>
  </si>
  <si>
    <t>标签图标</t>
  </si>
  <si>
    <t>字段导出设置</t>
  </si>
  <si>
    <t>字段名称</t>
  </si>
  <si>
    <t>BuildLableId</t>
  </si>
  <si>
    <t>LableName</t>
  </si>
  <si>
    <t>LablePng</t>
  </si>
  <si>
    <t>数据类型</t>
  </si>
  <si>
    <t>INT</t>
  </si>
  <si>
    <t>STR</t>
  </si>
  <si>
    <t>PNG</t>
  </si>
  <si>
    <t>采集</t>
  </si>
  <si>
    <t>武器</t>
  </si>
  <si>
    <t>防御</t>
  </si>
  <si>
    <t>辅助</t>
  </si>
  <si>
    <t>该表用于设置建造子列表相关配置
数据不想填就写 #BASEVALUE</t>
  </si>
  <si>
    <t>建造项id</t>
  </si>
  <si>
    <t>建造的实体id</t>
  </si>
  <si>
    <t xml:space="preserve">是否需要科技解锁
</t>
  </si>
  <si>
    <t>子列表图标</t>
  </si>
  <si>
    <t>建筑名称（仅在文档中显示）</t>
  </si>
  <si>
    <t>BuildItemId</t>
  </si>
  <si>
    <t>ObjectId</t>
  </si>
  <si>
    <t>IsNeedScience</t>
  </si>
  <si>
    <t>mingzi</t>
  </si>
  <si>
    <t>BOOL</t>
  </si>
  <si>
    <t>111</t>
  </si>
  <si>
    <t>挖掘钻机1</t>
  </si>
  <si>
    <t>挖掘钻机2</t>
  </si>
  <si>
    <t>挖掘钻机3</t>
  </si>
  <si>
    <t>收解台</t>
  </si>
  <si>
    <t>水晶提取器</t>
  </si>
  <si>
    <t>熔炉平台</t>
  </si>
  <si>
    <t>次元凝练器</t>
  </si>
  <si>
    <t>射击塔1</t>
  </si>
  <si>
    <t>射击塔2</t>
  </si>
  <si>
    <t>射击塔3</t>
  </si>
  <si>
    <t>光子塔1</t>
  </si>
  <si>
    <t>光子塔2</t>
  </si>
  <si>
    <t>光子塔3</t>
  </si>
  <si>
    <t>迫击炮塔1</t>
  </si>
  <si>
    <t>迫击炮塔2</t>
  </si>
  <si>
    <t>迫击炮塔3</t>
  </si>
  <si>
    <t>散弹塔1</t>
  </si>
  <si>
    <t>散弹塔2</t>
  </si>
  <si>
    <t>散弹塔3</t>
  </si>
  <si>
    <t>机枪塔1</t>
  </si>
  <si>
    <t>机枪塔2</t>
  </si>
  <si>
    <t>机枪塔3</t>
  </si>
  <si>
    <t>破甲塔1</t>
  </si>
  <si>
    <t>破甲塔2</t>
  </si>
  <si>
    <t>破甲塔3</t>
  </si>
  <si>
    <t>射空塔1</t>
  </si>
  <si>
    <t>射空塔2</t>
  </si>
  <si>
    <t>射空塔3</t>
  </si>
  <si>
    <t>喷火塔1</t>
  </si>
  <si>
    <t>喷火塔2</t>
  </si>
  <si>
    <t>喷火塔3</t>
  </si>
  <si>
    <t>闪电塔</t>
  </si>
  <si>
    <t>镇压塔</t>
  </si>
  <si>
    <t>分解塔</t>
  </si>
  <si>
    <t>加农塔</t>
  </si>
  <si>
    <t>热熔塔</t>
  </si>
  <si>
    <t>导弹无人机塔</t>
  </si>
  <si>
    <t>熔岩迫击炮塔</t>
  </si>
  <si>
    <t>破闪塔</t>
  </si>
  <si>
    <t>闪耀塔</t>
  </si>
  <si>
    <t>黄蜂导弹塔</t>
  </si>
  <si>
    <t>1</t>
  </si>
  <si>
    <t>集数投射塔</t>
  </si>
  <si>
    <t>防御墙</t>
  </si>
  <si>
    <t>地堡</t>
  </si>
  <si>
    <t>布雷塔</t>
  </si>
  <si>
    <t>战术地刺</t>
  </si>
  <si>
    <t>拒马</t>
  </si>
  <si>
    <t>布局节点</t>
  </si>
  <si>
    <t>重组塔</t>
  </si>
  <si>
    <t>维修激光塔</t>
  </si>
  <si>
    <t>核心1</t>
  </si>
  <si>
    <t>核心2</t>
  </si>
  <si>
    <t>建造规则ID</t>
  </si>
  <si>
    <t>规则名称</t>
  </si>
  <si>
    <t>检索标签</t>
  </si>
  <si>
    <t>检索队伍，自身|中立|盟友非自身|盟友|敌人|任何。  own|neutral|allyNotOwn|ally|enemy|any</t>
  </si>
  <si>
    <t>搜索距离（像素距离）</t>
  </si>
  <si>
    <t>排除不完整建筑（就是没有建造完成的建筑）</t>
  </si>
  <si>
    <t>最小数量</t>
  </si>
  <si>
    <t>最大数量</t>
  </si>
  <si>
    <t>禁止放置</t>
  </si>
  <si>
    <t>失败信息</t>
  </si>
  <si>
    <t>BuildingID</t>
  </si>
  <si>
    <t>BuildingName</t>
  </si>
  <si>
    <t>searchTags</t>
  </si>
  <si>
    <t>searchTeam</t>
  </si>
  <si>
    <t>searchDistance</t>
  </si>
  <si>
    <t>excludeIncompleteBuildings</t>
  </si>
  <si>
    <t>minCount</t>
  </si>
  <si>
    <t>maxCount</t>
  </si>
  <si>
    <t>blocksPlacement</t>
  </si>
  <si>
    <t>cannotPlaceMessage</t>
  </si>
  <si>
    <t>需要建造在资源地块上</t>
  </si>
  <si>
    <t>资源地块</t>
  </si>
  <si>
    <t>any</t>
  </si>
  <si>
    <t>需要放置在液体地块中</t>
  </si>
  <si>
    <t>液体地块</t>
  </si>
  <si>
    <t>需要建造在城墙上</t>
  </si>
  <si>
    <t>城墙</t>
  </si>
  <si>
    <t>own</t>
  </si>
  <si>
    <t>需要距离某标签建筑一段距离</t>
  </si>
  <si>
    <t>某标签</t>
  </si>
  <si>
    <t>数据类型编号</t>
  </si>
  <si>
    <t>数据类型名称</t>
  </si>
  <si>
    <t>默认值</t>
  </si>
  <si>
    <t>数据类型描述</t>
  </si>
  <si>
    <t>数据类型示例</t>
  </si>
  <si>
    <t>True</t>
  </si>
  <si>
    <t>布尔值，用于表示 是或者否，True为是，False为否</t>
  </si>
  <si>
    <t>True       False</t>
  </si>
  <si>
    <t>SHORT</t>
  </si>
  <si>
    <t>0</t>
  </si>
  <si>
    <t>短整数类型，用于表示一些比较小的整数 -32768 到 32767，少用</t>
  </si>
  <si>
    <t>11112      -21232</t>
  </si>
  <si>
    <t>整数类型，适合在大多数时候用于保存配置id，-2147483648到2147483647</t>
  </si>
  <si>
    <t>1212312321</t>
  </si>
  <si>
    <t>LONG</t>
  </si>
  <si>
    <t>长整数类型，用于保存大的整数，-9223372036854775808到9223372036854775807</t>
  </si>
  <si>
    <t>52122122111111</t>
  </si>
  <si>
    <t>FLOAT</t>
  </si>
  <si>
    <t>单精度浮点型，整数部分范围很大，小数部分，float的精度为6~7位有效数字，绝对能保证6位小数正常</t>
  </si>
  <si>
    <t>554.1233  622125.1231</t>
  </si>
  <si>
    <t>字符串，用于保存如介绍，描述等文本，通常不必担心长度</t>
  </si>
  <si>
    <t>你好</t>
  </si>
  <si>
    <t>&lt;BOOL&gt;</t>
  </si>
  <si>
    <t>[]</t>
  </si>
  <si>
    <t>布尔值列表，用于保存一个由布尔值组成的列表</t>
  </si>
  <si>
    <t>True|True|False</t>
  </si>
  <si>
    <t>&lt;SHORT&gt;</t>
  </si>
  <si>
    <t>短整数列表，用于保存一个由短整数组成的列表</t>
  </si>
  <si>
    <t>123|121|434|-121</t>
  </si>
  <si>
    <t>&lt;INT&gt;</t>
  </si>
  <si>
    <t>整数列表，用于保存一个由整数组成的列表</t>
  </si>
  <si>
    <t>2323232|1212|2343|545</t>
  </si>
  <si>
    <t>&lt;LONG&gt;</t>
  </si>
  <si>
    <t>长整数列表，用于保存一个由长整数组成的列表</t>
  </si>
  <si>
    <t>52122122111111|1223434433</t>
  </si>
  <si>
    <t>&lt;FLOAT&gt;</t>
  </si>
  <si>
    <t>小数列表，用于保存一个由小数组成的列表</t>
  </si>
  <si>
    <t>554.1233|12.12</t>
  </si>
  <si>
    <t>&lt;STR&gt;</t>
  </si>
  <si>
    <t>字符串列表</t>
  </si>
  <si>
    <t>(BOOL)</t>
  </si>
  <si>
    <t>()</t>
  </si>
  <si>
    <t>(SHORT)</t>
  </si>
  <si>
    <t>(INT)</t>
  </si>
  <si>
    <t>(LONG)</t>
  </si>
  <si>
    <t>(FLOAT)</t>
  </si>
  <si>
    <t>(STR)</t>
  </si>
  <si>
    <t>&lt;(BOOL)&gt;</t>
  </si>
  <si>
    <t>&lt;(SHORT)&gt;</t>
  </si>
  <si>
    <t>&lt;(INT)&gt;</t>
  </si>
  <si>
    <t>&lt;(LONG)&gt;</t>
  </si>
  <si>
    <t>&lt;(FLOAT)&gt;</t>
  </si>
  <si>
    <t>&lt;(STR)&gt;</t>
  </si>
  <si>
    <t>LANG</t>
  </si>
  <si>
    <t>KeyBase</t>
  </si>
  <si>
    <t>语言id 是语言配置的id</t>
  </si>
  <si>
    <t>POINT</t>
  </si>
  <si>
    <t>(0,0)</t>
  </si>
  <si>
    <t>保存小数二维坐标的类型</t>
  </si>
  <si>
    <t>(1.2,3.5)</t>
  </si>
  <si>
    <t>&lt;LANG&gt;</t>
  </si>
  <si>
    <t>语言id列表</t>
  </si>
  <si>
    <t>1|2</t>
  </si>
  <si>
    <t>&lt;POINT&gt;</t>
  </si>
  <si>
    <t>坐标点列表，Vector2的列表，用于保存小数二维坐标列表的类型</t>
  </si>
  <si>
    <t>(1.2,3.5)|(1.4,3.2)</t>
  </si>
  <si>
    <t>null</t>
  </si>
  <si>
    <t>Png图片，通常用于导出散图，导出单元格图片后，放在config\images\下</t>
  </si>
  <si>
    <t>Vector2I</t>
  </si>
  <si>
    <t>整数类型的二维坐标</t>
  </si>
  <si>
    <t>(1,2)</t>
  </si>
  <si>
    <t>ULONG</t>
  </si>
  <si>
    <t>长整数类型，用于保存大的整数，0到18,446,744,073,709,551,615（即2^64 - 1）的非负整数值</t>
  </si>
  <si>
    <t>12312312321</t>
  </si>
  <si>
    <t>RGB</t>
  </si>
  <si>
    <t>(0,0,0)</t>
  </si>
  <si>
    <t>颜色类型rgb (x,x,x) x最大255</t>
  </si>
  <si>
    <t>RGBA</t>
  </si>
  <si>
    <t>(0,0,0,0)</t>
  </si>
  <si>
    <t>颜色类型rgba (x,x,x,x) x最大255</t>
  </si>
  <si>
    <t>&lt;Vector2I&gt;</t>
  </si>
  <si>
    <t>整数类型的整数二维坐标 的列表</t>
  </si>
  <si>
    <t>SequenceMap</t>
  </si>
  <si>
    <t>序列图的json文件名称，记得把对应的图片放在Remnant Afterglow\data\sequence_map文件夹下</t>
  </si>
  <si>
    <t>序列图名称.json</t>
  </si>
  <si>
    <t>BBCode</t>
  </si>
  <si>
    <t>BBCode是一种轻量标记语言，具体填写规则https://docs.godotengine.org/en/latest/tutorials/ui/bbcode_in_richtextlabel.html</t>
  </si>
  <si>
    <t>HashSet&lt;INT&gt;</t>
  </si>
  <si>
    <t>确保唯一的Int列表，c#中的HashSet&lt;int&gt;类型</t>
  </si>
  <si>
    <t>1|2|3|4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</si>
</sst>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2"/>
      <color theme="1"/>
      <name val="宋体"/>
      <charset val="134"/>
      <scheme val="minor"/>
    </font>
    <font>
      <b/>
      <sz val="12"/>
      <color theme="1"/>
      <name val="宋体"/>
      <charset val="134"/>
      <scheme val="major"/>
    </font>
    <font>
      <sz val="12"/>
      <color theme="1"/>
      <name val="宋体"/>
      <charset val="134"/>
      <scheme val="minor"/>
    </font>
    <font>
      <b/>
      <sz val="12"/>
      <name val="宋体"/>
      <charset val="134"/>
      <scheme val="major"/>
    </font>
    <font>
      <sz val="9.75"/>
      <color theme="1"/>
      <name val="Tahoma"/>
      <charset val="134"/>
    </font>
    <font>
      <sz val="10"/>
      <color theme="1"/>
      <name val="宋体"/>
      <charset val="134"/>
    </font>
    <font>
      <b/>
      <sz val="1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5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6" borderId="5" applyNumberFormat="0" applyAlignment="0" applyProtection="0">
      <alignment vertical="center"/>
    </xf>
    <xf numFmtId="0" fontId="20" fillId="7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3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0" fillId="0" borderId="0" xfId="0" applyNumberFormat="1" applyAlignment="1">
      <alignment vertical="center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>
      <alignment vertical="center"/>
    </xf>
    <xf numFmtId="49" fontId="5" fillId="2" borderId="0" xfId="0" applyNumberFormat="1" applyFont="1" applyFill="1" applyBorder="1" applyAlignment="1">
      <alignment horizontal="center" vertical="center" wrapText="1"/>
    </xf>
    <xf numFmtId="0" fontId="5" fillId="2" borderId="0" xfId="0" applyFont="1" applyFill="1" applyBorder="1" applyAlignment="1">
      <alignment horizontal="center" vertical="center"/>
    </xf>
    <xf numFmtId="0" fontId="5" fillId="2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Border="1" applyAlignment="1">
      <alignment horizontal="center" vertical="center"/>
    </xf>
    <xf numFmtId="49" fontId="4" fillId="0" borderId="0" xfId="0" applyNumberFormat="1" applyFont="1" applyFill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8" fillId="2" borderId="0" xfId="0" applyNumberFormat="1" applyFont="1" applyFill="1" applyBorder="1" applyAlignment="1">
      <alignment horizontal="center" vertical="center" wrapText="1"/>
    </xf>
    <xf numFmtId="0" fontId="8" fillId="2" borderId="0" xfId="0" applyFont="1" applyFill="1" applyBorder="1" applyAlignment="1">
      <alignment horizontal="center" vertical="center"/>
    </xf>
    <xf numFmtId="49" fontId="8" fillId="0" borderId="0" xfId="0" applyNumberFormat="1" applyFont="1" applyFill="1" applyBorder="1" applyAlignment="1">
      <alignment horizontal="center" vertical="center"/>
    </xf>
    <xf numFmtId="0" fontId="8" fillId="0" borderId="0" xfId="0" applyFont="1" applyFill="1" applyBorder="1" applyAlignment="1">
      <alignment horizontal="center" vertical="center"/>
    </xf>
    <xf numFmtId="0" fontId="8" fillId="3" borderId="0" xfId="0" applyFont="1" applyFill="1" applyBorder="1" applyAlignment="1">
      <alignment horizontal="center" vertical="center"/>
    </xf>
    <xf numFmtId="49" fontId="8" fillId="3" borderId="0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3" borderId="0" xfId="0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png"/><Relationship Id="rId8" Type="http://schemas.openxmlformats.org/officeDocument/2006/relationships/image" Target="media/image8.png"/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7" Type="http://schemas.openxmlformats.org/officeDocument/2006/relationships/image" Target="media/image37.png"/><Relationship Id="rId36" Type="http://schemas.openxmlformats.org/officeDocument/2006/relationships/image" Target="media/image36.png"/><Relationship Id="rId35" Type="http://schemas.openxmlformats.org/officeDocument/2006/relationships/image" Target="media/image35.png"/><Relationship Id="rId34" Type="http://schemas.openxmlformats.org/officeDocument/2006/relationships/image" Target="media/image34.png"/><Relationship Id="rId33" Type="http://schemas.openxmlformats.org/officeDocument/2006/relationships/image" Target="media/image33.png"/><Relationship Id="rId32" Type="http://schemas.openxmlformats.org/officeDocument/2006/relationships/image" Target="media/image32.png"/><Relationship Id="rId31" Type="http://schemas.openxmlformats.org/officeDocument/2006/relationships/image" Target="media/image31.png"/><Relationship Id="rId30" Type="http://schemas.openxmlformats.org/officeDocument/2006/relationships/image" Target="media/image30.png"/><Relationship Id="rId3" Type="http://schemas.openxmlformats.org/officeDocument/2006/relationships/image" Target="media/image3.png"/><Relationship Id="rId29" Type="http://schemas.openxmlformats.org/officeDocument/2006/relationships/image" Target="media/image29.png"/><Relationship Id="rId28" Type="http://schemas.openxmlformats.org/officeDocument/2006/relationships/image" Target="media/image28.png"/><Relationship Id="rId27" Type="http://schemas.openxmlformats.org/officeDocument/2006/relationships/image" Target="media/image27.png"/><Relationship Id="rId26" Type="http://schemas.openxmlformats.org/officeDocument/2006/relationships/image" Target="media/image26.png"/><Relationship Id="rId25" Type="http://schemas.openxmlformats.org/officeDocument/2006/relationships/image" Target="media/image25.png"/><Relationship Id="rId24" Type="http://schemas.openxmlformats.org/officeDocument/2006/relationships/image" Target="media/image24.png"/><Relationship Id="rId23" Type="http://schemas.openxmlformats.org/officeDocument/2006/relationships/image" Target="media/image23.png"/><Relationship Id="rId22" Type="http://schemas.openxmlformats.org/officeDocument/2006/relationships/image" Target="media/image22.png"/><Relationship Id="rId21" Type="http://schemas.openxmlformats.org/officeDocument/2006/relationships/image" Target="media/image21.png"/><Relationship Id="rId20" Type="http://schemas.openxmlformats.org/officeDocument/2006/relationships/image" Target="media/image20.png"/><Relationship Id="rId2" Type="http://schemas.openxmlformats.org/officeDocument/2006/relationships/image" Target="media/image2.png"/><Relationship Id="rId19" Type="http://schemas.openxmlformats.org/officeDocument/2006/relationships/image" Target="media/image19.png"/><Relationship Id="rId18" Type="http://schemas.openxmlformats.org/officeDocument/2006/relationships/image" Target="media/image18.png"/><Relationship Id="rId17" Type="http://schemas.openxmlformats.org/officeDocument/2006/relationships/image" Target="media/image17.png"/><Relationship Id="rId16" Type="http://schemas.openxmlformats.org/officeDocument/2006/relationships/image" Target="media/image16.png"/><Relationship Id="rId15" Type="http://schemas.openxmlformats.org/officeDocument/2006/relationships/image" Target="media/image15.png"/><Relationship Id="rId14" Type="http://schemas.openxmlformats.org/officeDocument/2006/relationships/image" Target="media/image14.png"/><Relationship Id="rId13" Type="http://schemas.openxmlformats.org/officeDocument/2006/relationships/image" Target="media/image13.png"/><Relationship Id="rId12" Type="http://schemas.openxmlformats.org/officeDocument/2006/relationships/image" Target="media/image12.png"/><Relationship Id="rId11" Type="http://schemas.openxmlformats.org/officeDocument/2006/relationships/image" Target="media/image11.png"/><Relationship Id="rId10" Type="http://schemas.openxmlformats.org/officeDocument/2006/relationships/image" Target="media/image10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www.wps.cn/officeDocument/2020/cellImage" Target="cellimag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onnections" Target="connections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queryTables/queryTable1.xml><?xml version="1.0" encoding="utf-8"?>
<queryTable xmlns="http://schemas.openxmlformats.org/spreadsheetml/2006/main" name="连接" growShrinkType="overwriteClear" refreshOnLoad="1" connectionId="1" autoFormatId="16" applyNumberFormats="0" applyBorderFormats="0" applyFontFormats="1" applyPatternFormats="1" applyAlignmentFormats="0" applyWidthHeightFormats="0">
  <queryTableRefresh preserveSortFilterLayout="0" nextId="6">
    <queryTableFields count="5">
      <queryTableField id="1" name="数据类型编号"/>
      <queryTableField id="2" name="数据类型名称"/>
      <queryTableField id="3" name="默认值"/>
      <queryTableField id="4" name="数据类型描述"/>
      <queryTableField id="5" name="数据类型示例"/>
    </queryTableFields>
  </queryTableRefresh>
</query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9"/>
  <sheetViews>
    <sheetView zoomScale="160" zoomScaleNormal="160" workbookViewId="0">
      <selection activeCell="C15" sqref="C15"/>
    </sheetView>
  </sheetViews>
  <sheetFormatPr defaultColWidth="9" defaultRowHeight="13.5" outlineLevelCol="3"/>
  <cols>
    <col min="1" max="1" width="43.375" customWidth="1"/>
    <col min="2" max="3" width="20.5" customWidth="1"/>
    <col min="4" max="4" width="14" customWidth="1"/>
  </cols>
  <sheetData>
    <row r="1" s="21" customFormat="1" ht="57" customHeight="1" spans="1:4">
      <c r="A1" s="23" t="s">
        <v>0</v>
      </c>
      <c r="B1" s="24" t="s">
        <v>1</v>
      </c>
      <c r="C1" s="24" t="s">
        <v>2</v>
      </c>
      <c r="D1" s="24" t="s">
        <v>3</v>
      </c>
    </row>
    <row r="2" s="22" customFormat="1" ht="14.25" spans="1:4">
      <c r="A2" s="25" t="s">
        <v>4</v>
      </c>
      <c r="B2" s="26">
        <v>1</v>
      </c>
      <c r="C2" s="26">
        <v>2</v>
      </c>
      <c r="D2" s="27">
        <v>3</v>
      </c>
    </row>
    <row r="3" s="22" customFormat="1" ht="14.25" spans="1:4">
      <c r="A3" s="25" t="s">
        <v>5</v>
      </c>
      <c r="B3" s="26" t="s">
        <v>6</v>
      </c>
      <c r="C3" s="26" t="s">
        <v>7</v>
      </c>
      <c r="D3" s="27" t="s">
        <v>8</v>
      </c>
    </row>
    <row r="4" s="22" customFormat="1" ht="14.25" spans="1:4">
      <c r="A4" s="25" t="s">
        <v>9</v>
      </c>
      <c r="B4" s="25" t="s">
        <v>10</v>
      </c>
      <c r="C4" s="25" t="s">
        <v>11</v>
      </c>
      <c r="D4" s="28" t="s">
        <v>12</v>
      </c>
    </row>
    <row r="5" ht="14.25" spans="1:4">
      <c r="A5" s="29">
        <v>1</v>
      </c>
      <c r="B5" s="29">
        <v>1</v>
      </c>
      <c r="C5" s="29" t="s">
        <v>13</v>
      </c>
      <c r="D5" s="30" t="str">
        <f>_xlfn.DISPIMG("ID_11DB952DD681473FB4EE03EACB5972B0",1)</f>
        <v>=DISPIMG("ID_11DB952DD681473FB4EE03EACB5972B0",1)</v>
      </c>
    </row>
    <row r="6" ht="14.25" spans="1:4">
      <c r="A6" s="29">
        <v>1</v>
      </c>
      <c r="B6" s="29">
        <v>2</v>
      </c>
      <c r="C6" s="29" t="s">
        <v>14</v>
      </c>
      <c r="D6" s="30" t="str">
        <f>_xlfn.DISPIMG("ID_4B26897A75EF45748134189E36944612",1)</f>
        <v>=DISPIMG("ID_4B26897A75EF45748134189E36944612",1)</v>
      </c>
    </row>
    <row r="7" ht="14.25" spans="1:4">
      <c r="A7" s="29">
        <v>1</v>
      </c>
      <c r="B7" s="29">
        <v>3</v>
      </c>
      <c r="C7" s="29" t="s">
        <v>15</v>
      </c>
      <c r="D7" s="30" t="str">
        <f>_xlfn.DISPIMG("ID_EC401C8039E74F3C84707592782ADD42",1)</f>
        <v>=DISPIMG("ID_EC401C8039E74F3C84707592782ADD42",1)</v>
      </c>
    </row>
    <row r="8" ht="14.25" spans="1:4">
      <c r="A8" s="29">
        <v>1</v>
      </c>
      <c r="B8" s="29">
        <v>4</v>
      </c>
      <c r="C8" s="29" t="s">
        <v>16</v>
      </c>
      <c r="D8" s="30" t="str">
        <f>_xlfn.DISPIMG("ID_2124E37D571A45A3B82A1CE67C386555",1)</f>
        <v>=DISPIMG("ID_2124E37D571A45A3B82A1CE67C386555",1)</v>
      </c>
    </row>
    <row r="9" ht="59" customHeight="1"/>
  </sheetData>
  <dataValidations count="1">
    <dataValidation type="list" allowBlank="1" showInputMessage="1" showErrorMessage="1" sqref="B4:D4">
      <formula1>数据类型!$B$2:$B$51</formula1>
    </dataValidation>
  </dataValidation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3"/>
  <sheetViews>
    <sheetView tabSelected="1" zoomScale="145" zoomScaleNormal="145" topLeftCell="A48" workbookViewId="0">
      <selection activeCell="E67" sqref="E67"/>
    </sheetView>
  </sheetViews>
  <sheetFormatPr defaultColWidth="9" defaultRowHeight="14.25" outlineLevelCol="6"/>
  <cols>
    <col min="1" max="1" width="43.375" style="6" customWidth="1"/>
    <col min="2" max="2" width="20.5" style="6" customWidth="1"/>
    <col min="3" max="3" width="18.8166666666667" style="6" customWidth="1"/>
    <col min="4" max="4" width="15.1333333333333" style="6" customWidth="1"/>
    <col min="5" max="5" width="30.4416666666667" style="6" customWidth="1"/>
    <col min="6" max="6" width="16.9083333333333" style="7" customWidth="1"/>
    <col min="7" max="7" width="15.1333333333333" style="6" customWidth="1"/>
    <col min="8" max="16384" width="9" style="6"/>
  </cols>
  <sheetData>
    <row r="1" ht="71" customHeight="1" spans="1:7">
      <c r="A1" s="8" t="s">
        <v>17</v>
      </c>
      <c r="B1" s="9" t="s">
        <v>18</v>
      </c>
      <c r="C1" s="9" t="s">
        <v>1</v>
      </c>
      <c r="D1" s="9" t="s">
        <v>19</v>
      </c>
      <c r="E1" s="10" t="s">
        <v>20</v>
      </c>
      <c r="F1" s="9" t="s">
        <v>21</v>
      </c>
      <c r="G1" s="10" t="s">
        <v>22</v>
      </c>
    </row>
    <row r="2" spans="1:7">
      <c r="A2" s="11" t="s">
        <v>4</v>
      </c>
      <c r="B2" s="12">
        <v>1</v>
      </c>
      <c r="C2" s="12">
        <v>2</v>
      </c>
      <c r="D2" s="12">
        <v>2</v>
      </c>
      <c r="E2" s="12">
        <v>2</v>
      </c>
      <c r="F2" s="12">
        <v>3</v>
      </c>
      <c r="G2" s="12">
        <v>0</v>
      </c>
    </row>
    <row r="3" spans="1:7">
      <c r="A3" s="11" t="s">
        <v>5</v>
      </c>
      <c r="B3" s="12" t="s">
        <v>23</v>
      </c>
      <c r="C3" s="12" t="s">
        <v>6</v>
      </c>
      <c r="D3" s="12" t="s">
        <v>24</v>
      </c>
      <c r="E3" s="12" t="s">
        <v>25</v>
      </c>
      <c r="F3" s="12" t="s">
        <v>8</v>
      </c>
      <c r="G3" s="12" t="s">
        <v>26</v>
      </c>
    </row>
    <row r="4" spans="1:7">
      <c r="A4" s="11" t="s">
        <v>9</v>
      </c>
      <c r="B4" s="11" t="s">
        <v>10</v>
      </c>
      <c r="C4" s="11" t="s">
        <v>10</v>
      </c>
      <c r="D4" s="11" t="s">
        <v>10</v>
      </c>
      <c r="E4" s="12" t="s">
        <v>27</v>
      </c>
      <c r="F4" s="12" t="s">
        <v>12</v>
      </c>
      <c r="G4" s="11" t="s">
        <v>28</v>
      </c>
    </row>
    <row r="5" ht="20" customHeight="1" spans="1:7">
      <c r="A5" s="6">
        <v>1</v>
      </c>
      <c r="B5" s="6">
        <v>101</v>
      </c>
      <c r="C5" s="6">
        <v>1</v>
      </c>
      <c r="D5" s="6">
        <v>101</v>
      </c>
      <c r="E5" s="12" t="b">
        <v>0</v>
      </c>
      <c r="F5" s="12" t="str">
        <f t="shared" ref="F5:F7" si="0">_xlfn.DISPIMG("ID_4DD065F10B904CEEBE53037F0D8B234C",1)</f>
        <v>=DISPIMG("ID_4DD065F10B904CEEBE53037F0D8B234C",1)</v>
      </c>
      <c r="G5" s="6" t="s">
        <v>29</v>
      </c>
    </row>
    <row r="6" ht="20" customHeight="1" spans="1:7">
      <c r="A6" s="6">
        <v>1</v>
      </c>
      <c r="B6" s="6">
        <v>102</v>
      </c>
      <c r="C6" s="6">
        <v>1</v>
      </c>
      <c r="D6" s="6">
        <v>102</v>
      </c>
      <c r="E6" s="12" t="b">
        <v>0</v>
      </c>
      <c r="F6" s="12" t="str">
        <f t="shared" si="0"/>
        <v>=DISPIMG("ID_4DD065F10B904CEEBE53037F0D8B234C",1)</v>
      </c>
      <c r="G6" s="6" t="s">
        <v>30</v>
      </c>
    </row>
    <row r="7" ht="20" customHeight="1" spans="1:7">
      <c r="A7" s="6">
        <v>1</v>
      </c>
      <c r="B7" s="6">
        <v>103</v>
      </c>
      <c r="C7" s="6">
        <v>1</v>
      </c>
      <c r="D7" s="6">
        <v>103</v>
      </c>
      <c r="E7" s="12" t="b">
        <v>0</v>
      </c>
      <c r="F7" s="12" t="str">
        <f t="shared" si="0"/>
        <v>=DISPIMG("ID_4DD065F10B904CEEBE53037F0D8B234C",1)</v>
      </c>
      <c r="G7" s="6" t="s">
        <v>31</v>
      </c>
    </row>
    <row r="8" ht="20.65" spans="1:7">
      <c r="A8" s="6">
        <v>1</v>
      </c>
      <c r="B8" s="6">
        <v>201</v>
      </c>
      <c r="C8" s="6">
        <v>1</v>
      </c>
      <c r="D8" s="6">
        <v>201</v>
      </c>
      <c r="E8" s="12" t="b">
        <v>0</v>
      </c>
      <c r="F8" s="12" t="str">
        <f>_xlfn.DISPIMG("ID_D3CF77A34ED74C60A4D34D28401FAC99",1)</f>
        <v>=DISPIMG("ID_D3CF77A34ED74C60A4D34D28401FAC99",1)</v>
      </c>
      <c r="G8" s="6" t="s">
        <v>32</v>
      </c>
    </row>
    <row r="9" ht="20.75" spans="1:7">
      <c r="A9" s="6">
        <v>1</v>
      </c>
      <c r="B9" s="6">
        <v>401</v>
      </c>
      <c r="C9" s="6">
        <v>1</v>
      </c>
      <c r="D9" s="6">
        <v>401</v>
      </c>
      <c r="E9" s="12" t="b">
        <v>0</v>
      </c>
      <c r="F9" s="12" t="str">
        <f>_xlfn.DISPIMG("ID_401B3EE15EFC42E2A51680A8A27FC56A",1)</f>
        <v>=DISPIMG("ID_401B3EE15EFC42E2A51680A8A27FC56A",1)</v>
      </c>
      <c r="G9" s="6" t="s">
        <v>33</v>
      </c>
    </row>
    <row r="10" ht="20.65" spans="1:7">
      <c r="A10" s="6">
        <v>1</v>
      </c>
      <c r="B10" s="6">
        <v>301</v>
      </c>
      <c r="C10" s="6">
        <v>1</v>
      </c>
      <c r="D10" s="6">
        <v>301</v>
      </c>
      <c r="E10" s="12" t="b">
        <v>0</v>
      </c>
      <c r="F10" s="12" t="str">
        <f>_xlfn.DISPIMG("ID_3409CEDB9E1E4609B71E380924FF3316",1)</f>
        <v>=DISPIMG("ID_3409CEDB9E1E4609B71E380924FF3316",1)</v>
      </c>
      <c r="G10" s="6" t="s">
        <v>34</v>
      </c>
    </row>
    <row r="11" ht="20.35" spans="1:7">
      <c r="A11" s="6">
        <v>1</v>
      </c>
      <c r="B11" s="6">
        <v>501</v>
      </c>
      <c r="C11" s="6">
        <v>1</v>
      </c>
      <c r="D11" s="6">
        <v>501</v>
      </c>
      <c r="E11" s="12" t="b">
        <v>0</v>
      </c>
      <c r="F11" s="12" t="str">
        <f>_xlfn.DISPIMG("ID_07DEC1450AFC4F3998D87D712D02686A",1)</f>
        <v>=DISPIMG("ID_07DEC1450AFC4F3998D87D712D02686A",1)</v>
      </c>
      <c r="G11" s="6" t="s">
        <v>35</v>
      </c>
    </row>
    <row r="12" ht="23" customHeight="1" spans="1:7">
      <c r="A12" s="6">
        <v>1</v>
      </c>
      <c r="B12" s="6">
        <v>100001</v>
      </c>
      <c r="C12" s="6">
        <v>2</v>
      </c>
      <c r="D12" s="6">
        <v>100001</v>
      </c>
      <c r="E12" s="12" t="b">
        <v>0</v>
      </c>
      <c r="F12" s="12" t="str">
        <f t="shared" ref="F12:F14" si="1">_xlfn.DISPIMG("ID_C8F0AFCF7F804860AFE706068B7163EB",1)</f>
        <v>=DISPIMG("ID_C8F0AFCF7F804860AFE706068B7163EB",1)</v>
      </c>
      <c r="G12" s="6" t="s">
        <v>36</v>
      </c>
    </row>
    <row r="13" ht="23" customHeight="1" spans="1:7">
      <c r="A13" s="6">
        <v>1</v>
      </c>
      <c r="B13" s="6">
        <v>100002</v>
      </c>
      <c r="C13" s="6">
        <v>2</v>
      </c>
      <c r="D13" s="6">
        <v>100002</v>
      </c>
      <c r="E13" s="12" t="b">
        <v>0</v>
      </c>
      <c r="F13" s="12" t="str">
        <f t="shared" si="1"/>
        <v>=DISPIMG("ID_C8F0AFCF7F804860AFE706068B7163EB",1)</v>
      </c>
      <c r="G13" s="6" t="s">
        <v>37</v>
      </c>
    </row>
    <row r="14" ht="23" customHeight="1" spans="1:7">
      <c r="A14" s="6">
        <v>1</v>
      </c>
      <c r="B14" s="6">
        <v>100003</v>
      </c>
      <c r="C14" s="6">
        <v>2</v>
      </c>
      <c r="D14" s="6">
        <v>100003</v>
      </c>
      <c r="E14" s="12" t="b">
        <v>0</v>
      </c>
      <c r="F14" s="12" t="str">
        <f t="shared" si="1"/>
        <v>=DISPIMG("ID_C8F0AFCF7F804860AFE706068B7163EB",1)</v>
      </c>
      <c r="G14" s="6" t="s">
        <v>38</v>
      </c>
    </row>
    <row r="15" ht="23" customHeight="1" spans="1:7">
      <c r="A15" s="6">
        <v>1</v>
      </c>
      <c r="B15" s="6">
        <v>100501</v>
      </c>
      <c r="C15" s="6">
        <v>2</v>
      </c>
      <c r="D15" s="6">
        <v>100501</v>
      </c>
      <c r="E15" s="12" t="b">
        <v>0</v>
      </c>
      <c r="F15" s="12" t="str">
        <f t="shared" ref="F15:F17" si="2">_xlfn.DISPIMG("ID_9F3D06959AED4D66A6D39063334AB0CA",1)</f>
        <v>=DISPIMG("ID_9F3D06959AED4D66A6D39063334AB0CA",1)</v>
      </c>
      <c r="G15" s="6" t="s">
        <v>39</v>
      </c>
    </row>
    <row r="16" ht="23" customHeight="1" spans="1:7">
      <c r="A16" s="6">
        <v>1</v>
      </c>
      <c r="B16" s="6">
        <v>100502</v>
      </c>
      <c r="C16" s="6">
        <v>2</v>
      </c>
      <c r="D16" s="6">
        <v>100502</v>
      </c>
      <c r="E16" s="12" t="b">
        <v>0</v>
      </c>
      <c r="F16" s="12" t="str">
        <f t="shared" si="2"/>
        <v>=DISPIMG("ID_9F3D06959AED4D66A6D39063334AB0CA",1)</v>
      </c>
      <c r="G16" s="6" t="s">
        <v>40</v>
      </c>
    </row>
    <row r="17" ht="23" customHeight="1" spans="1:7">
      <c r="A17" s="6">
        <v>1</v>
      </c>
      <c r="B17" s="6">
        <v>100503</v>
      </c>
      <c r="C17" s="6">
        <v>2</v>
      </c>
      <c r="D17" s="6">
        <v>100503</v>
      </c>
      <c r="E17" s="12" t="b">
        <v>0</v>
      </c>
      <c r="F17" s="12" t="str">
        <f t="shared" si="2"/>
        <v>=DISPIMG("ID_9F3D06959AED4D66A6D39063334AB0CA",1)</v>
      </c>
      <c r="G17" s="6" t="s">
        <v>41</v>
      </c>
    </row>
    <row r="18" ht="20.4" spans="1:7">
      <c r="A18" s="6">
        <v>1</v>
      </c>
      <c r="B18" s="6">
        <v>100901</v>
      </c>
      <c r="C18" s="6">
        <v>2</v>
      </c>
      <c r="D18" s="6">
        <v>100901</v>
      </c>
      <c r="E18" s="12" t="b">
        <v>0</v>
      </c>
      <c r="F18" s="12" t="str">
        <f t="shared" ref="F18:F20" si="3">_xlfn.DISPIMG("ID_80FC7EF21F1740B093A0240AFF3D6DEB",1)</f>
        <v>=DISPIMG("ID_80FC7EF21F1740B093A0240AFF3D6DEB",1)</v>
      </c>
      <c r="G18" s="6" t="s">
        <v>42</v>
      </c>
    </row>
    <row r="19" ht="20.4" spans="1:7">
      <c r="A19" s="6">
        <v>1</v>
      </c>
      <c r="B19" s="6">
        <v>100902</v>
      </c>
      <c r="C19" s="6">
        <v>2</v>
      </c>
      <c r="D19" s="6">
        <v>100902</v>
      </c>
      <c r="E19" s="12" t="b">
        <v>0</v>
      </c>
      <c r="F19" s="12" t="str">
        <f t="shared" si="3"/>
        <v>=DISPIMG("ID_80FC7EF21F1740B093A0240AFF3D6DEB",1)</v>
      </c>
      <c r="G19" s="6" t="s">
        <v>43</v>
      </c>
    </row>
    <row r="20" ht="20.4" spans="1:7">
      <c r="A20" s="6">
        <v>1</v>
      </c>
      <c r="B20" s="6">
        <v>100903</v>
      </c>
      <c r="C20" s="6">
        <v>2</v>
      </c>
      <c r="D20" s="6">
        <v>100903</v>
      </c>
      <c r="E20" s="12" t="b">
        <v>0</v>
      </c>
      <c r="F20" s="12" t="str">
        <f t="shared" si="3"/>
        <v>=DISPIMG("ID_80FC7EF21F1740B093A0240AFF3D6DEB",1)</v>
      </c>
      <c r="G20" s="6" t="s">
        <v>44</v>
      </c>
    </row>
    <row r="21" ht="20.05" spans="1:7">
      <c r="A21" s="6">
        <v>1</v>
      </c>
      <c r="B21" s="6">
        <v>100201</v>
      </c>
      <c r="C21" s="6">
        <v>2</v>
      </c>
      <c r="D21" s="13">
        <v>100201</v>
      </c>
      <c r="E21" s="12" t="b">
        <v>0</v>
      </c>
      <c r="F21" s="12" t="str">
        <f t="shared" ref="F21:F23" si="4">_xlfn.DISPIMG("ID_82C739C91395468DA06FBF117861F13A",1)</f>
        <v>=DISPIMG("ID_82C739C91395468DA06FBF117861F13A",1)</v>
      </c>
      <c r="G21" s="13" t="s">
        <v>45</v>
      </c>
    </row>
    <row r="22" ht="20.05" spans="1:7">
      <c r="A22" s="6">
        <v>1</v>
      </c>
      <c r="B22" s="6">
        <v>100202</v>
      </c>
      <c r="C22" s="6">
        <v>2</v>
      </c>
      <c r="D22" s="6">
        <v>100202</v>
      </c>
      <c r="E22" s="12" t="b">
        <v>0</v>
      </c>
      <c r="F22" s="12" t="str">
        <f t="shared" si="4"/>
        <v>=DISPIMG("ID_82C739C91395468DA06FBF117861F13A",1)</v>
      </c>
      <c r="G22" s="13" t="s">
        <v>46</v>
      </c>
    </row>
    <row r="23" ht="20.05" spans="1:7">
      <c r="A23" s="6">
        <v>1</v>
      </c>
      <c r="B23" s="6">
        <v>100203</v>
      </c>
      <c r="C23" s="6">
        <v>2</v>
      </c>
      <c r="D23" s="6">
        <v>100203</v>
      </c>
      <c r="E23" s="12" t="b">
        <v>0</v>
      </c>
      <c r="F23" s="12" t="str">
        <f t="shared" si="4"/>
        <v>=DISPIMG("ID_82C739C91395468DA06FBF117861F13A",1)</v>
      </c>
      <c r="G23" s="13" t="s">
        <v>47</v>
      </c>
    </row>
    <row r="24" ht="20.1" spans="1:7">
      <c r="A24" s="6">
        <v>1</v>
      </c>
      <c r="B24" s="13">
        <v>100301</v>
      </c>
      <c r="C24" s="6">
        <v>2</v>
      </c>
      <c r="D24" s="13">
        <v>100301</v>
      </c>
      <c r="E24" s="12" t="b">
        <v>0</v>
      </c>
      <c r="F24" s="12" t="str">
        <f t="shared" ref="F24:F26" si="5">_xlfn.DISPIMG("ID_9AD385B82DA343FAAA9418C2D9F8DE69",1)</f>
        <v>=DISPIMG("ID_9AD385B82DA343FAAA9418C2D9F8DE69",1)</v>
      </c>
      <c r="G24" s="13" t="s">
        <v>48</v>
      </c>
    </row>
    <row r="25" ht="20.1" spans="1:7">
      <c r="A25" s="6">
        <v>1</v>
      </c>
      <c r="B25" s="13">
        <v>100302</v>
      </c>
      <c r="C25" s="6">
        <v>2</v>
      </c>
      <c r="D25" s="13">
        <v>100302</v>
      </c>
      <c r="E25" s="12" t="b">
        <v>0</v>
      </c>
      <c r="F25" s="12" t="str">
        <f t="shared" si="5"/>
        <v>=DISPIMG("ID_9AD385B82DA343FAAA9418C2D9F8DE69",1)</v>
      </c>
      <c r="G25" s="13" t="s">
        <v>49</v>
      </c>
    </row>
    <row r="26" ht="20.1" spans="1:7">
      <c r="A26" s="6">
        <v>1</v>
      </c>
      <c r="B26" s="13">
        <v>100303</v>
      </c>
      <c r="C26" s="6">
        <v>2</v>
      </c>
      <c r="D26" s="13">
        <v>100303</v>
      </c>
      <c r="E26" s="12" t="b">
        <v>0</v>
      </c>
      <c r="F26" s="12" t="str">
        <f t="shared" si="5"/>
        <v>=DISPIMG("ID_9AD385B82DA343FAAA9418C2D9F8DE69",1)</v>
      </c>
      <c r="G26" s="13" t="s">
        <v>50</v>
      </c>
    </row>
    <row r="27" ht="20.1" spans="1:7">
      <c r="A27" s="6">
        <v>1</v>
      </c>
      <c r="B27" s="13">
        <v>100101</v>
      </c>
      <c r="C27" s="6">
        <v>2</v>
      </c>
      <c r="D27" s="13">
        <v>100101</v>
      </c>
      <c r="E27" s="12" t="b">
        <v>0</v>
      </c>
      <c r="F27" s="12" t="str">
        <f t="shared" ref="F27:F29" si="6">_xlfn.DISPIMG("ID_2B06411C3F664BF2B58BF091E079939F",1)</f>
        <v>=DISPIMG("ID_2B06411C3F664BF2B58BF091E079939F",1)</v>
      </c>
      <c r="G27" s="13" t="s">
        <v>51</v>
      </c>
    </row>
    <row r="28" ht="20.1" spans="1:7">
      <c r="A28" s="6">
        <v>1</v>
      </c>
      <c r="B28" s="13">
        <v>100102</v>
      </c>
      <c r="C28" s="6">
        <v>2</v>
      </c>
      <c r="D28" s="13">
        <v>100102</v>
      </c>
      <c r="E28" s="12" t="b">
        <v>0</v>
      </c>
      <c r="F28" s="12" t="str">
        <f t="shared" si="6"/>
        <v>=DISPIMG("ID_2B06411C3F664BF2B58BF091E079939F",1)</v>
      </c>
      <c r="G28" s="13" t="s">
        <v>52</v>
      </c>
    </row>
    <row r="29" ht="20.1" spans="1:7">
      <c r="A29" s="6">
        <v>1</v>
      </c>
      <c r="B29" s="13">
        <v>100103</v>
      </c>
      <c r="C29" s="6">
        <v>2</v>
      </c>
      <c r="D29" s="13">
        <v>100103</v>
      </c>
      <c r="E29" s="12" t="b">
        <v>0</v>
      </c>
      <c r="F29" s="12" t="str">
        <f t="shared" si="6"/>
        <v>=DISPIMG("ID_2B06411C3F664BF2B58BF091E079939F",1)</v>
      </c>
      <c r="G29" s="13" t="s">
        <v>53</v>
      </c>
    </row>
    <row r="30" ht="20.65" spans="1:7">
      <c r="A30" s="6">
        <v>1</v>
      </c>
      <c r="B30" s="6">
        <v>101001</v>
      </c>
      <c r="C30" s="6">
        <v>2</v>
      </c>
      <c r="D30" s="6">
        <v>101001</v>
      </c>
      <c r="E30" s="12" t="b">
        <v>0</v>
      </c>
      <c r="F30" s="12" t="str">
        <f t="shared" ref="F30:F32" si="7">_xlfn.DISPIMG("ID_BE62D6D9713E4A499F1FD96509C95087",1)</f>
        <v>=DISPIMG("ID_BE62D6D9713E4A499F1FD96509C95087",1)</v>
      </c>
      <c r="G30" s="6" t="s">
        <v>54</v>
      </c>
    </row>
    <row r="31" ht="20.65" spans="1:7">
      <c r="A31" s="6">
        <v>1</v>
      </c>
      <c r="B31" s="6">
        <v>101002</v>
      </c>
      <c r="C31" s="6">
        <v>2</v>
      </c>
      <c r="D31" s="6">
        <v>101002</v>
      </c>
      <c r="E31" s="12" t="b">
        <v>0</v>
      </c>
      <c r="F31" s="12" t="str">
        <f t="shared" si="7"/>
        <v>=DISPIMG("ID_BE62D6D9713E4A499F1FD96509C95087",1)</v>
      </c>
      <c r="G31" s="6" t="s">
        <v>55</v>
      </c>
    </row>
    <row r="32" ht="20.65" spans="1:7">
      <c r="A32" s="6">
        <v>1</v>
      </c>
      <c r="B32" s="6">
        <v>101003</v>
      </c>
      <c r="C32" s="6">
        <v>2</v>
      </c>
      <c r="D32" s="6">
        <v>101003</v>
      </c>
      <c r="E32" s="12" t="b">
        <v>0</v>
      </c>
      <c r="F32" s="12" t="str">
        <f t="shared" si="7"/>
        <v>=DISPIMG("ID_BE62D6D9713E4A499F1FD96509C95087",1)</v>
      </c>
      <c r="G32" s="6" t="s">
        <v>56</v>
      </c>
    </row>
    <row r="33" ht="20.8" spans="1:7">
      <c r="A33" s="6">
        <v>1</v>
      </c>
      <c r="B33" s="6">
        <v>101101</v>
      </c>
      <c r="C33" s="6">
        <v>2</v>
      </c>
      <c r="D33" s="6">
        <v>101101</v>
      </c>
      <c r="E33" s="12" t="b">
        <v>0</v>
      </c>
      <c r="F33" s="12" t="str">
        <f t="shared" ref="F33:F35" si="8">_xlfn.DISPIMG("ID_E2AAFF612EAC432190986B26A9C98BB7",1)</f>
        <v>=DISPIMG("ID_E2AAFF612EAC432190986B26A9C98BB7",1)</v>
      </c>
      <c r="G33" s="6" t="s">
        <v>57</v>
      </c>
    </row>
    <row r="34" ht="20.8" spans="1:7">
      <c r="A34" s="6">
        <v>1</v>
      </c>
      <c r="B34" s="6">
        <v>101102</v>
      </c>
      <c r="C34" s="6">
        <v>2</v>
      </c>
      <c r="D34" s="6">
        <v>101102</v>
      </c>
      <c r="E34" s="12" t="b">
        <v>0</v>
      </c>
      <c r="F34" s="12" t="str">
        <f t="shared" si="8"/>
        <v>=DISPIMG("ID_E2AAFF612EAC432190986B26A9C98BB7",1)</v>
      </c>
      <c r="G34" s="6" t="s">
        <v>58</v>
      </c>
    </row>
    <row r="35" ht="20.8" spans="1:7">
      <c r="A35" s="6">
        <v>1</v>
      </c>
      <c r="B35" s="6">
        <v>101103</v>
      </c>
      <c r="C35" s="6">
        <v>2</v>
      </c>
      <c r="D35" s="6">
        <v>101103</v>
      </c>
      <c r="E35" s="12" t="b">
        <v>0</v>
      </c>
      <c r="F35" s="12" t="str">
        <f t="shared" si="8"/>
        <v>=DISPIMG("ID_E2AAFF612EAC432190986B26A9C98BB7",1)</v>
      </c>
      <c r="G35" s="6" t="s">
        <v>59</v>
      </c>
    </row>
    <row r="36" ht="20.1" spans="1:7">
      <c r="A36" s="6">
        <v>1</v>
      </c>
      <c r="B36" s="14">
        <v>101501</v>
      </c>
      <c r="C36" s="6">
        <v>2</v>
      </c>
      <c r="D36" s="14">
        <v>101501</v>
      </c>
      <c r="E36" s="12" t="b">
        <v>0</v>
      </c>
      <c r="F36" s="12" t="str">
        <f>_xlfn.DISPIMG("ID_0EFBED2547A44F7E8365B09D7681E597",1)</f>
        <v>=DISPIMG("ID_0EFBED2547A44F7E8365B09D7681E597",1)</v>
      </c>
      <c r="G36" s="14" t="s">
        <v>60</v>
      </c>
    </row>
    <row r="37" spans="5:6">
      <c r="E37" s="12"/>
      <c r="F37" s="12"/>
    </row>
    <row r="38" spans="5:6">
      <c r="E38" s="12"/>
      <c r="F38" s="12"/>
    </row>
    <row r="39" ht="20.1" spans="1:7">
      <c r="A39" s="6">
        <v>1</v>
      </c>
      <c r="B39" s="6">
        <v>100401</v>
      </c>
      <c r="C39" s="6">
        <v>2</v>
      </c>
      <c r="D39" s="6">
        <v>100401</v>
      </c>
      <c r="E39" s="12" t="b">
        <v>0</v>
      </c>
      <c r="F39" s="12" t="str">
        <f>_xlfn.DISPIMG("ID_891DB17444E4460F8ADE36249FCD7394",1)</f>
        <v>=DISPIMG("ID_891DB17444E4460F8ADE36249FCD7394",1)</v>
      </c>
      <c r="G39" s="6" t="s">
        <v>61</v>
      </c>
    </row>
    <row r="40" spans="5:6">
      <c r="E40" s="12"/>
      <c r="F40" s="12"/>
    </row>
    <row r="41" spans="5:6">
      <c r="E41" s="12"/>
      <c r="F41" s="12"/>
    </row>
    <row r="42" ht="20.1" spans="1:7">
      <c r="A42" s="6">
        <v>1</v>
      </c>
      <c r="B42" s="6">
        <v>100601</v>
      </c>
      <c r="C42" s="6">
        <v>2</v>
      </c>
      <c r="D42" s="13">
        <v>100601</v>
      </c>
      <c r="E42" s="12" t="b">
        <v>0</v>
      </c>
      <c r="F42" s="12" t="str">
        <f>_xlfn.DISPIMG("ID_B404A0E0A57B49BB870ED498C8D11B95",1)</f>
        <v>=DISPIMG("ID_B404A0E0A57B49BB870ED498C8D11B95",1)</v>
      </c>
      <c r="G42" s="13" t="s">
        <v>62</v>
      </c>
    </row>
    <row r="43" spans="4:7">
      <c r="D43" s="13"/>
      <c r="E43" s="12"/>
      <c r="F43" s="12"/>
      <c r="G43" s="13"/>
    </row>
    <row r="44" spans="4:7">
      <c r="D44" s="13"/>
      <c r="E44" s="12"/>
      <c r="F44" s="12"/>
      <c r="G44" s="13"/>
    </row>
    <row r="45" spans="4:7">
      <c r="D45" s="13"/>
      <c r="E45" s="12"/>
      <c r="F45" s="12"/>
      <c r="G45" s="13"/>
    </row>
    <row r="46" spans="4:7">
      <c r="D46" s="13"/>
      <c r="E46" s="12"/>
      <c r="F46" s="12"/>
      <c r="G46" s="13"/>
    </row>
    <row r="47" ht="20.05" spans="1:7">
      <c r="A47" s="6">
        <v>1</v>
      </c>
      <c r="B47" s="13">
        <v>100701</v>
      </c>
      <c r="C47" s="6">
        <v>2</v>
      </c>
      <c r="D47" s="13">
        <v>100701</v>
      </c>
      <c r="E47" s="12" t="b">
        <v>0</v>
      </c>
      <c r="F47" s="12" t="str">
        <f>_xlfn.DISPIMG("ID_BDB308A3E72F427595AC1A9A75902D33",1)</f>
        <v>=DISPIMG("ID_BDB308A3E72F427595AC1A9A75902D33",1)</v>
      </c>
      <c r="G47" s="13" t="s">
        <v>63</v>
      </c>
    </row>
    <row r="48" spans="2:7">
      <c r="B48" s="13"/>
      <c r="D48" s="13"/>
      <c r="E48" s="12"/>
      <c r="F48" s="12"/>
      <c r="G48" s="13"/>
    </row>
    <row r="49" spans="2:7">
      <c r="B49" s="13"/>
      <c r="D49" s="13"/>
      <c r="E49" s="12"/>
      <c r="F49" s="12"/>
      <c r="G49" s="13"/>
    </row>
    <row r="50" ht="20.05" spans="1:7">
      <c r="A50" s="6">
        <v>1</v>
      </c>
      <c r="B50" s="13">
        <v>100801</v>
      </c>
      <c r="C50" s="6">
        <v>2</v>
      </c>
      <c r="D50" s="13">
        <v>100801</v>
      </c>
      <c r="E50" s="12" t="b">
        <v>0</v>
      </c>
      <c r="F50" s="12" t="str">
        <f>_xlfn.DISPIMG("ID_9C795C3DFD604D0BBE164CAF635BE94D",1)</f>
        <v>=DISPIMG("ID_9C795C3DFD604D0BBE164CAF635BE94D",1)</v>
      </c>
      <c r="G50" s="13" t="s">
        <v>64</v>
      </c>
    </row>
    <row r="53" ht="20.45" spans="1:7">
      <c r="A53" s="6">
        <v>1</v>
      </c>
      <c r="B53" s="6">
        <v>101201</v>
      </c>
      <c r="C53" s="6">
        <v>2</v>
      </c>
      <c r="D53" s="6">
        <v>101201</v>
      </c>
      <c r="E53" s="12" t="b">
        <v>0</v>
      </c>
      <c r="F53" s="12" t="str">
        <f>_xlfn.DISPIMG("ID_771E175306A64643A328202688B1BBAB",1)</f>
        <v>=DISPIMG("ID_771E175306A64643A328202688B1BBAB",1)</v>
      </c>
      <c r="G53" s="6" t="s">
        <v>65</v>
      </c>
    </row>
    <row r="56" ht="20.1" spans="1:7">
      <c r="A56" s="6">
        <v>1</v>
      </c>
      <c r="B56" s="14">
        <v>101401</v>
      </c>
      <c r="C56" s="6">
        <v>2</v>
      </c>
      <c r="D56" s="14">
        <v>101401</v>
      </c>
      <c r="E56" s="12" t="b">
        <v>0</v>
      </c>
      <c r="F56" s="12" t="str">
        <f>_xlfn.DISPIMG("ID_C65D6D99F84541ABA9BF3404D66C1487",1)</f>
        <v>=DISPIMG("ID_C65D6D99F84541ABA9BF3404D66C1487",1)</v>
      </c>
      <c r="G56" s="14" t="s">
        <v>66</v>
      </c>
    </row>
    <row r="59" ht="20.1" spans="1:7">
      <c r="A59" s="6">
        <v>1</v>
      </c>
      <c r="B59" s="14">
        <v>101601</v>
      </c>
      <c r="C59" s="6">
        <v>2</v>
      </c>
      <c r="D59" s="14">
        <v>101601</v>
      </c>
      <c r="E59" s="12" t="b">
        <v>0</v>
      </c>
      <c r="F59" s="12" t="str">
        <f>_xlfn.DISPIMG("ID_63712A02DDCC4249825D599FFD1FB841",1)</f>
        <v>=DISPIMG("ID_63712A02DDCC4249825D599FFD1FB841",1)</v>
      </c>
      <c r="G59" s="14" t="s">
        <v>67</v>
      </c>
    </row>
    <row r="62" ht="20.05" spans="1:7">
      <c r="A62" s="6">
        <v>1</v>
      </c>
      <c r="B62" s="14">
        <v>101801</v>
      </c>
      <c r="C62" s="6">
        <v>2</v>
      </c>
      <c r="D62" s="14">
        <v>101801</v>
      </c>
      <c r="E62" s="12" t="b">
        <v>0</v>
      </c>
      <c r="F62" s="12" t="str">
        <f>_xlfn.DISPIMG("ID_44D9B418C1C54BBCA547494EABBCE28D",1)</f>
        <v>=DISPIMG("ID_44D9B418C1C54BBCA547494EABBCE28D",1)</v>
      </c>
      <c r="G62" s="14" t="s">
        <v>68</v>
      </c>
    </row>
    <row r="65" ht="20.6" spans="1:7">
      <c r="A65" s="6">
        <v>1</v>
      </c>
      <c r="B65" s="14">
        <v>102001</v>
      </c>
      <c r="C65" s="6">
        <v>2</v>
      </c>
      <c r="D65" s="14">
        <v>101801</v>
      </c>
      <c r="E65" s="12" t="b">
        <v>0</v>
      </c>
      <c r="F65" s="12" t="str">
        <f>_xlfn.DISPIMG("ID_F059E6008EE14803AE8A553D53CC0F42",1)</f>
        <v>=DISPIMG("ID_F059E6008EE14803AE8A553D53CC0F42",1)</v>
      </c>
      <c r="G65" s="14" t="s">
        <v>69</v>
      </c>
    </row>
    <row r="67" ht="98.4" spans="1:7">
      <c r="A67" s="15" t="s">
        <v>70</v>
      </c>
      <c r="B67" s="16">
        <v>102101</v>
      </c>
      <c r="C67" s="6">
        <v>2</v>
      </c>
      <c r="D67" s="16">
        <v>102101</v>
      </c>
      <c r="E67" s="12" t="b">
        <v>0</v>
      </c>
      <c r="F67" s="7" t="str">
        <f>_xlfn.DISPIMG("ID_7FD5958D36034C6D9CEB261A1016B1BF",1)</f>
        <v>=DISPIMG("ID_7FD5958D36034C6D9CEB261A1016B1BF",1)</v>
      </c>
      <c r="G67" s="17" t="s">
        <v>71</v>
      </c>
    </row>
    <row r="68" ht="20.3" spans="1:7">
      <c r="A68" s="6">
        <v>1</v>
      </c>
      <c r="B68" s="18">
        <v>200001</v>
      </c>
      <c r="C68" s="6">
        <v>3</v>
      </c>
      <c r="D68" s="18">
        <v>200001</v>
      </c>
      <c r="E68" s="12" t="b">
        <v>0</v>
      </c>
      <c r="F68" s="12" t="str">
        <f>_xlfn.DISPIMG("ID_DC2A35A3F4D34A5288D083B243CFC007",1)</f>
        <v>=DISPIMG("ID_DC2A35A3F4D34A5288D083B243CFC007",1)</v>
      </c>
      <c r="G68" s="14" t="s">
        <v>72</v>
      </c>
    </row>
    <row r="71" ht="20.05" spans="1:7">
      <c r="A71" s="6">
        <v>1</v>
      </c>
      <c r="B71" s="6">
        <v>200301</v>
      </c>
      <c r="C71" s="6">
        <v>3</v>
      </c>
      <c r="D71" s="13">
        <v>200301</v>
      </c>
      <c r="E71" s="12" t="b">
        <v>0</v>
      </c>
      <c r="F71" s="12" t="str">
        <f>_xlfn.DISPIMG("ID_34FBB8D69695424CB6AE853BC927D098",1)</f>
        <v>=DISPIMG("ID_34FBB8D69695424CB6AE853BC927D098",1)</v>
      </c>
      <c r="G71" s="13" t="s">
        <v>73</v>
      </c>
    </row>
    <row r="74" ht="20.1" spans="1:7">
      <c r="A74" s="6">
        <v>1</v>
      </c>
      <c r="B74" s="19">
        <v>200601</v>
      </c>
      <c r="C74" s="6">
        <v>3</v>
      </c>
      <c r="D74" s="19">
        <v>200601</v>
      </c>
      <c r="E74" s="12" t="b">
        <v>0</v>
      </c>
      <c r="F74" s="12" t="str">
        <f>_xlfn.DISPIMG("ID_6AB2AB516DE244D0878F5B322C51EDE8",1)</f>
        <v>=DISPIMG("ID_6AB2AB516DE244D0878F5B322C51EDE8",1)</v>
      </c>
      <c r="G74" s="20" t="s">
        <v>74</v>
      </c>
    </row>
    <row r="75" spans="2:7">
      <c r="B75" s="13"/>
      <c r="D75" s="13"/>
      <c r="E75" s="12"/>
      <c r="F75" s="12"/>
      <c r="G75" s="13"/>
    </row>
    <row r="76" spans="2:7">
      <c r="B76" s="13"/>
      <c r="D76" s="13"/>
      <c r="E76" s="12"/>
      <c r="F76" s="12"/>
      <c r="G76" s="13"/>
    </row>
    <row r="77" ht="20.05" spans="1:7">
      <c r="A77" s="6">
        <v>1</v>
      </c>
      <c r="B77" s="6">
        <v>201101</v>
      </c>
      <c r="C77" s="6">
        <v>3</v>
      </c>
      <c r="D77" s="6">
        <v>201101</v>
      </c>
      <c r="E77" s="12" t="b">
        <v>0</v>
      </c>
      <c r="F77" s="12" t="str">
        <f>_xlfn.DISPIMG("ID_B520E760974E42508AF90D8EC86B3524",1)</f>
        <v>=DISPIMG("ID_B520E760974E42508AF90D8EC86B3524",1)</v>
      </c>
      <c r="G77" s="6" t="s">
        <v>75</v>
      </c>
    </row>
    <row r="78" spans="5:6">
      <c r="E78" s="12"/>
      <c r="F78" s="12"/>
    </row>
    <row r="79" spans="5:6">
      <c r="E79" s="12"/>
      <c r="F79" s="12"/>
    </row>
    <row r="80" ht="20.1" spans="1:7">
      <c r="A80" s="6">
        <v>1</v>
      </c>
      <c r="B80" s="19">
        <v>201201</v>
      </c>
      <c r="C80" s="6">
        <v>3</v>
      </c>
      <c r="D80" s="19">
        <v>201201</v>
      </c>
      <c r="E80" s="12" t="b">
        <v>0</v>
      </c>
      <c r="F80" s="12" t="str">
        <f>_xlfn.DISPIMG("ID_D2692EF3A7DF4D34B85C8129CBBD17A1",1)</f>
        <v>=DISPIMG("ID_D2692EF3A7DF4D34B85C8129CBBD17A1",1)</v>
      </c>
      <c r="G80" s="20" t="s">
        <v>76</v>
      </c>
    </row>
    <row r="81" spans="2:7">
      <c r="B81" s="19"/>
      <c r="D81" s="19"/>
      <c r="E81" s="12"/>
      <c r="F81" s="12"/>
      <c r="G81" s="20"/>
    </row>
    <row r="82" spans="2:7">
      <c r="B82" s="19"/>
      <c r="D82" s="19"/>
      <c r="E82" s="12"/>
      <c r="F82" s="12"/>
      <c r="G82" s="20"/>
    </row>
    <row r="83" ht="20.75" spans="1:7">
      <c r="A83" s="6">
        <v>1</v>
      </c>
      <c r="B83" s="18">
        <v>300001</v>
      </c>
      <c r="C83" s="6">
        <v>4</v>
      </c>
      <c r="D83" s="18">
        <v>300001</v>
      </c>
      <c r="E83" s="12" t="b">
        <v>0</v>
      </c>
      <c r="F83" s="12" t="str">
        <f>_xlfn.DISPIMG("ID_299AF8C9EFC1444383821DEB1338C764",1)</f>
        <v>=DISPIMG("ID_299AF8C9EFC1444383821DEB1338C764",1)</v>
      </c>
      <c r="G83" s="14" t="s">
        <v>77</v>
      </c>
    </row>
    <row r="84" spans="5:6">
      <c r="E84" s="12"/>
      <c r="F84" s="12"/>
    </row>
    <row r="85" spans="5:6">
      <c r="E85" s="12"/>
      <c r="F85" s="12"/>
    </row>
    <row r="86" ht="20.05" spans="1:7">
      <c r="A86" s="6">
        <v>1</v>
      </c>
      <c r="B86" s="13">
        <v>300101</v>
      </c>
      <c r="C86" s="6">
        <v>4</v>
      </c>
      <c r="D86" s="13">
        <v>300101</v>
      </c>
      <c r="E86" s="12" t="b">
        <v>0</v>
      </c>
      <c r="F86" s="12" t="str">
        <f>_xlfn.DISPIMG("ID_83C81FEEAF8243E081906A9205D7D5F6",1)</f>
        <v>=DISPIMG("ID_83C81FEEAF8243E081906A9205D7D5F6",1)</v>
      </c>
      <c r="G86" s="13" t="s">
        <v>78</v>
      </c>
    </row>
    <row r="87" spans="2:7">
      <c r="B87" s="13"/>
      <c r="D87" s="13"/>
      <c r="E87" s="12"/>
      <c r="F87" s="12"/>
      <c r="G87" s="13"/>
    </row>
    <row r="88" spans="2:7">
      <c r="B88" s="13"/>
      <c r="D88" s="13"/>
      <c r="E88" s="12"/>
      <c r="F88" s="12"/>
      <c r="G88" s="13"/>
    </row>
    <row r="89" ht="20.5" spans="1:7">
      <c r="A89" s="6">
        <v>1</v>
      </c>
      <c r="B89" s="6">
        <v>300201</v>
      </c>
      <c r="C89" s="6">
        <v>4</v>
      </c>
      <c r="D89" s="6">
        <v>300201</v>
      </c>
      <c r="E89" s="12" t="b">
        <v>0</v>
      </c>
      <c r="F89" s="12" t="str">
        <f>_xlfn.DISPIMG("ID_4C60F2B61952492F88D24C28FDA4086E",1)</f>
        <v>=DISPIMG("ID_4C60F2B61952492F88D24C28FDA4086E",1)</v>
      </c>
      <c r="G89" s="6" t="s">
        <v>79</v>
      </c>
    </row>
    <row r="90" spans="5:6">
      <c r="E90" s="12"/>
      <c r="F90" s="12"/>
    </row>
    <row r="91" spans="5:6">
      <c r="E91" s="12"/>
      <c r="F91" s="12"/>
    </row>
    <row r="92" ht="16.8" spans="1:7">
      <c r="A92" s="6">
        <v>1</v>
      </c>
      <c r="B92" s="6">
        <v>400001</v>
      </c>
      <c r="C92" s="6">
        <v>4</v>
      </c>
      <c r="D92" s="6">
        <v>400001</v>
      </c>
      <c r="E92" s="12" t="b">
        <v>0</v>
      </c>
      <c r="F92" s="12" t="str">
        <f>_xlfn.DISPIMG("ID_9A93E3C46F41412AB0D4E893DC8D978B",1)</f>
        <v>=DISPIMG("ID_9A93E3C46F41412AB0D4E893DC8D978B",1)</v>
      </c>
      <c r="G92" s="6" t="s">
        <v>80</v>
      </c>
    </row>
    <row r="93" ht="100.1" spans="1:7">
      <c r="A93" s="6">
        <v>1</v>
      </c>
      <c r="B93" s="6">
        <v>400002</v>
      </c>
      <c r="C93" s="6">
        <v>4</v>
      </c>
      <c r="D93" s="6">
        <v>400002</v>
      </c>
      <c r="E93" s="12" t="b">
        <v>0</v>
      </c>
      <c r="F93" s="12" t="str">
        <f>_xlfn.DISPIMG("ID_9A93E3C46F41412AB0D4E893DC8D978B",1)</f>
        <v>=DISPIMG("ID_9A93E3C46F41412AB0D4E893DC8D978B",1)</v>
      </c>
      <c r="G93" s="6" t="s">
        <v>81</v>
      </c>
    </row>
  </sheetData>
  <sortState ref="A2:F55">
    <sortCondition ref="B2"/>
  </sortState>
  <dataValidations count="1">
    <dataValidation type="list" allowBlank="1" showInputMessage="1" showErrorMessage="1" sqref="B8:F8">
      <formula1>数据类型!$B$2:$B$51</formula1>
    </dataValidation>
  </dataValidations>
  <pageMargins left="0.75" right="0.75" top="1" bottom="1" header="0.5" footer="0.5"/>
  <pageSetup paperSize="9" orientation="portrait"/>
  <headerFooter/>
  <ignoredErrors>
    <ignoredError sqref="B8:F8" listDataValidation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zoomScale="160" zoomScaleNormal="160" workbookViewId="0">
      <selection activeCell="C24" sqref="C24"/>
    </sheetView>
  </sheetViews>
  <sheetFormatPr defaultColWidth="9" defaultRowHeight="13.5" outlineLevelRow="7"/>
  <cols>
    <col min="3" max="3" width="24.9916666666667" style="3" customWidth="1"/>
    <col min="5" max="5" width="43.075" customWidth="1"/>
  </cols>
  <sheetData>
    <row r="1" ht="99.75" spans="1:11">
      <c r="A1" s="4" t="s">
        <v>4</v>
      </c>
      <c r="B1" s="4" t="s">
        <v>82</v>
      </c>
      <c r="C1" s="4" t="s">
        <v>83</v>
      </c>
      <c r="D1" s="4" t="s">
        <v>84</v>
      </c>
      <c r="E1" s="4" t="s">
        <v>85</v>
      </c>
      <c r="F1" s="4" t="s">
        <v>86</v>
      </c>
      <c r="G1" s="4" t="s">
        <v>87</v>
      </c>
      <c r="H1" s="4" t="s">
        <v>88</v>
      </c>
      <c r="I1" s="4" t="s">
        <v>89</v>
      </c>
      <c r="J1" s="4" t="s">
        <v>90</v>
      </c>
      <c r="K1" s="4" t="s">
        <v>91</v>
      </c>
    </row>
    <row r="2" ht="28.5" spans="1:11">
      <c r="A2" s="4" t="s">
        <v>4</v>
      </c>
      <c r="B2" s="5">
        <v>1</v>
      </c>
      <c r="C2" s="5">
        <v>1</v>
      </c>
      <c r="D2" s="5">
        <v>1</v>
      </c>
      <c r="E2" s="5">
        <v>1</v>
      </c>
      <c r="F2" s="5">
        <v>1</v>
      </c>
      <c r="G2" s="5">
        <v>0</v>
      </c>
      <c r="H2" s="5">
        <v>1</v>
      </c>
      <c r="I2" s="5">
        <v>1</v>
      </c>
      <c r="J2" s="5">
        <v>1</v>
      </c>
      <c r="K2" s="5">
        <v>3</v>
      </c>
    </row>
    <row r="3" ht="57" spans="1:11">
      <c r="A3" s="4" t="s">
        <v>5</v>
      </c>
      <c r="B3" s="5" t="s">
        <v>92</v>
      </c>
      <c r="C3" s="5" t="s">
        <v>93</v>
      </c>
      <c r="D3" s="5" t="s">
        <v>94</v>
      </c>
      <c r="E3" s="5" t="s">
        <v>95</v>
      </c>
      <c r="F3" s="5" t="s">
        <v>96</v>
      </c>
      <c r="G3" s="5" t="s">
        <v>97</v>
      </c>
      <c r="H3" s="5" t="s">
        <v>98</v>
      </c>
      <c r="I3" s="5" t="s">
        <v>99</v>
      </c>
      <c r="J3" s="5" t="s">
        <v>100</v>
      </c>
      <c r="K3" s="5" t="s">
        <v>101</v>
      </c>
    </row>
    <row r="4" ht="28.5" spans="1:11">
      <c r="A4" s="4" t="s">
        <v>9</v>
      </c>
      <c r="B4" s="5" t="s">
        <v>10</v>
      </c>
      <c r="C4" s="5" t="s">
        <v>11</v>
      </c>
      <c r="D4" s="5" t="s">
        <v>11</v>
      </c>
      <c r="E4" s="5" t="s">
        <v>11</v>
      </c>
      <c r="F4" s="5" t="s">
        <v>10</v>
      </c>
      <c r="G4" s="5" t="s">
        <v>27</v>
      </c>
      <c r="H4" s="5" t="s">
        <v>10</v>
      </c>
      <c r="I4" s="5" t="s">
        <v>10</v>
      </c>
      <c r="J4" s="5" t="s">
        <v>10</v>
      </c>
      <c r="K4" s="5" t="s">
        <v>10</v>
      </c>
    </row>
    <row r="5" ht="28.5" spans="1:11">
      <c r="A5" s="4">
        <v>1</v>
      </c>
      <c r="B5" s="5">
        <v>1</v>
      </c>
      <c r="C5" s="5" t="s">
        <v>102</v>
      </c>
      <c r="D5" s="5" t="s">
        <v>103</v>
      </c>
      <c r="E5" s="5" t="s">
        <v>104</v>
      </c>
      <c r="F5" s="5">
        <v>20</v>
      </c>
      <c r="G5" s="5" t="b">
        <v>1</v>
      </c>
      <c r="H5" s="5">
        <v>1</v>
      </c>
      <c r="I5" s="5">
        <v>5</v>
      </c>
      <c r="J5" s="5" t="b">
        <v>0</v>
      </c>
      <c r="K5" s="5" t="b">
        <v>0</v>
      </c>
    </row>
    <row r="6" ht="28.5" spans="1:11">
      <c r="A6" s="4">
        <v>1</v>
      </c>
      <c r="B6" s="5">
        <v>2</v>
      </c>
      <c r="C6" s="5" t="s">
        <v>105</v>
      </c>
      <c r="D6" s="5" t="s">
        <v>106</v>
      </c>
      <c r="E6" s="5" t="s">
        <v>104</v>
      </c>
      <c r="F6" s="5">
        <v>20</v>
      </c>
      <c r="G6" s="5" t="b">
        <v>1</v>
      </c>
      <c r="H6" s="5">
        <v>1</v>
      </c>
      <c r="I6" s="5">
        <v>99</v>
      </c>
      <c r="J6" s="5" t="b">
        <v>0</v>
      </c>
      <c r="K6" s="5" t="b">
        <v>0</v>
      </c>
    </row>
    <row r="7" ht="14.25" spans="1:11">
      <c r="A7" s="4">
        <v>1</v>
      </c>
      <c r="B7" s="5">
        <v>3</v>
      </c>
      <c r="C7" s="5" t="s">
        <v>107</v>
      </c>
      <c r="D7" s="5" t="s">
        <v>108</v>
      </c>
      <c r="E7" s="5" t="s">
        <v>109</v>
      </c>
      <c r="F7" s="5">
        <v>20</v>
      </c>
      <c r="G7" s="5" t="b">
        <v>0</v>
      </c>
      <c r="H7" s="5">
        <v>1</v>
      </c>
      <c r="I7" s="5">
        <v>99</v>
      </c>
      <c r="J7" s="5" t="b">
        <v>0</v>
      </c>
      <c r="K7" s="5" t="b">
        <v>0</v>
      </c>
    </row>
    <row r="8" ht="28.5" spans="1:11">
      <c r="A8" s="4">
        <v>3</v>
      </c>
      <c r="B8" s="5">
        <v>4</v>
      </c>
      <c r="C8" s="5" t="s">
        <v>110</v>
      </c>
      <c r="D8" s="5" t="s">
        <v>111</v>
      </c>
      <c r="E8" s="5" t="s">
        <v>109</v>
      </c>
      <c r="F8" s="5">
        <v>20</v>
      </c>
      <c r="G8" s="5" t="b">
        <v>0</v>
      </c>
      <c r="H8" s="5">
        <v>1</v>
      </c>
      <c r="I8" s="5">
        <v>99</v>
      </c>
      <c r="J8" s="5" t="b">
        <v>0</v>
      </c>
      <c r="K8" s="5" t="b">
        <v>0</v>
      </c>
    </row>
  </sheetData>
  <pageMargins left="0.75" right="0.75" top="1" bottom="1" header="0.5" footer="0.5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8"/>
  <sheetViews>
    <sheetView topLeftCell="A19" workbookViewId="0">
      <selection activeCell="C36" sqref="C36"/>
    </sheetView>
  </sheetViews>
  <sheetFormatPr defaultColWidth="9" defaultRowHeight="13.5" outlineLevelCol="4"/>
  <cols>
    <col min="1" max="2" width="13.75" customWidth="1"/>
    <col min="3" max="3" width="10.375" customWidth="1"/>
    <col min="4" max="4" width="79.9166666666667" customWidth="1"/>
    <col min="5" max="5" width="28.25" customWidth="1"/>
  </cols>
  <sheetData>
    <row r="1" spans="1:5">
      <c r="A1" s="1" t="s">
        <v>112</v>
      </c>
      <c r="B1" s="1" t="s">
        <v>113</v>
      </c>
      <c r="C1" s="1" t="s">
        <v>114</v>
      </c>
      <c r="D1" s="1" t="s">
        <v>115</v>
      </c>
      <c r="E1" s="1" t="s">
        <v>116</v>
      </c>
    </row>
    <row r="2" spans="1:5">
      <c r="A2" s="2">
        <v>1</v>
      </c>
      <c r="B2" s="2" t="s">
        <v>27</v>
      </c>
      <c r="C2" s="2" t="s">
        <v>117</v>
      </c>
      <c r="D2" s="2" t="s">
        <v>118</v>
      </c>
      <c r="E2" s="2" t="s">
        <v>119</v>
      </c>
    </row>
    <row r="3" spans="1:5">
      <c r="A3" s="2">
        <v>2</v>
      </c>
      <c r="B3" s="2" t="s">
        <v>120</v>
      </c>
      <c r="C3" s="2" t="s">
        <v>121</v>
      </c>
      <c r="D3" s="2" t="s">
        <v>122</v>
      </c>
      <c r="E3" s="2" t="s">
        <v>123</v>
      </c>
    </row>
    <row r="4" spans="1:5">
      <c r="A4" s="2">
        <v>3</v>
      </c>
      <c r="B4" s="2" t="s">
        <v>10</v>
      </c>
      <c r="C4" s="2" t="s">
        <v>121</v>
      </c>
      <c r="D4" s="2" t="s">
        <v>124</v>
      </c>
      <c r="E4" s="2" t="s">
        <v>125</v>
      </c>
    </row>
    <row r="5" spans="1:5">
      <c r="A5" s="2">
        <v>4</v>
      </c>
      <c r="B5" s="2" t="s">
        <v>126</v>
      </c>
      <c r="C5" s="2" t="s">
        <v>121</v>
      </c>
      <c r="D5" s="2" t="s">
        <v>127</v>
      </c>
      <c r="E5" s="2" t="s">
        <v>128</v>
      </c>
    </row>
    <row r="6" spans="1:5">
      <c r="A6" s="2">
        <v>5</v>
      </c>
      <c r="B6" s="2" t="s">
        <v>129</v>
      </c>
      <c r="C6" s="2" t="s">
        <v>121</v>
      </c>
      <c r="D6" s="2" t="s">
        <v>130</v>
      </c>
      <c r="E6" s="2" t="s">
        <v>131</v>
      </c>
    </row>
    <row r="7" spans="1:5">
      <c r="A7" s="2">
        <v>6</v>
      </c>
      <c r="B7" s="2" t="s">
        <v>11</v>
      </c>
      <c r="C7" s="2"/>
      <c r="D7" s="2" t="s">
        <v>132</v>
      </c>
      <c r="E7" s="2" t="s">
        <v>133</v>
      </c>
    </row>
    <row r="8" spans="1:5">
      <c r="A8" s="2">
        <v>7</v>
      </c>
      <c r="B8" s="2" t="s">
        <v>134</v>
      </c>
      <c r="C8" s="2" t="s">
        <v>135</v>
      </c>
      <c r="D8" s="2" t="s">
        <v>136</v>
      </c>
      <c r="E8" s="2" t="s">
        <v>137</v>
      </c>
    </row>
    <row r="9" spans="1:5">
      <c r="A9" s="2">
        <v>8</v>
      </c>
      <c r="B9" s="2" t="s">
        <v>138</v>
      </c>
      <c r="C9" s="2" t="s">
        <v>135</v>
      </c>
      <c r="D9" s="2" t="s">
        <v>139</v>
      </c>
      <c r="E9" s="2" t="s">
        <v>140</v>
      </c>
    </row>
    <row r="10" spans="1:5">
      <c r="A10" s="2">
        <v>9</v>
      </c>
      <c r="B10" s="2" t="s">
        <v>141</v>
      </c>
      <c r="C10" s="2" t="s">
        <v>135</v>
      </c>
      <c r="D10" s="2" t="s">
        <v>142</v>
      </c>
      <c r="E10" s="2" t="s">
        <v>143</v>
      </c>
    </row>
    <row r="11" spans="1:5">
      <c r="A11" s="2">
        <v>10</v>
      </c>
      <c r="B11" s="2" t="s">
        <v>144</v>
      </c>
      <c r="C11" s="2" t="s">
        <v>135</v>
      </c>
      <c r="D11" s="2" t="s">
        <v>145</v>
      </c>
      <c r="E11" s="2" t="s">
        <v>146</v>
      </c>
    </row>
    <row r="12" spans="1:5">
      <c r="A12" s="2">
        <v>11</v>
      </c>
      <c r="B12" s="2" t="s">
        <v>147</v>
      </c>
      <c r="C12" s="2" t="s">
        <v>135</v>
      </c>
      <c r="D12" s="2" t="s">
        <v>148</v>
      </c>
      <c r="E12" s="2" t="s">
        <v>149</v>
      </c>
    </row>
    <row r="13" spans="1:4">
      <c r="A13" s="2">
        <v>12</v>
      </c>
      <c r="B13" s="2" t="s">
        <v>150</v>
      </c>
      <c r="C13" s="2" t="s">
        <v>135</v>
      </c>
      <c r="D13" s="2" t="s">
        <v>151</v>
      </c>
    </row>
    <row r="14" spans="1:3">
      <c r="A14" s="2">
        <v>13</v>
      </c>
      <c r="B14" s="2" t="s">
        <v>152</v>
      </c>
      <c r="C14" s="2" t="s">
        <v>153</v>
      </c>
    </row>
    <row r="15" spans="1:3">
      <c r="A15" s="2">
        <v>14</v>
      </c>
      <c r="B15" s="2" t="s">
        <v>154</v>
      </c>
      <c r="C15" s="2" t="s">
        <v>153</v>
      </c>
    </row>
    <row r="16" spans="1:3">
      <c r="A16" s="2">
        <v>15</v>
      </c>
      <c r="B16" s="2" t="s">
        <v>155</v>
      </c>
      <c r="C16" s="2" t="s">
        <v>153</v>
      </c>
    </row>
    <row r="17" spans="1:3">
      <c r="A17" s="2">
        <v>16</v>
      </c>
      <c r="B17" s="2" t="s">
        <v>156</v>
      </c>
      <c r="C17" s="2" t="s">
        <v>153</v>
      </c>
    </row>
    <row r="18" spans="1:3">
      <c r="A18" s="2">
        <v>17</v>
      </c>
      <c r="B18" s="2" t="s">
        <v>157</v>
      </c>
      <c r="C18" s="2" t="s">
        <v>153</v>
      </c>
    </row>
    <row r="19" spans="1:3">
      <c r="A19" s="2">
        <v>18</v>
      </c>
      <c r="B19" s="2" t="s">
        <v>158</v>
      </c>
      <c r="C19" s="2" t="s">
        <v>153</v>
      </c>
    </row>
    <row r="20" spans="1:3">
      <c r="A20" s="2">
        <v>19</v>
      </c>
      <c r="B20" s="2" t="s">
        <v>159</v>
      </c>
      <c r="C20" s="2" t="s">
        <v>135</v>
      </c>
    </row>
    <row r="21" spans="1:3">
      <c r="A21" s="2">
        <v>20</v>
      </c>
      <c r="B21" s="2" t="s">
        <v>160</v>
      </c>
      <c r="C21" s="2" t="s">
        <v>135</v>
      </c>
    </row>
    <row r="22" spans="1:3">
      <c r="A22" s="2">
        <v>21</v>
      </c>
      <c r="B22" s="2" t="s">
        <v>161</v>
      </c>
      <c r="C22" s="2" t="s">
        <v>135</v>
      </c>
    </row>
    <row r="23" spans="1:3">
      <c r="A23" s="2">
        <v>22</v>
      </c>
      <c r="B23" s="2" t="s">
        <v>162</v>
      </c>
      <c r="C23" s="2" t="s">
        <v>135</v>
      </c>
    </row>
    <row r="24" spans="1:3">
      <c r="A24" s="2">
        <v>23</v>
      </c>
      <c r="B24" s="2" t="s">
        <v>163</v>
      </c>
      <c r="C24" s="2" t="s">
        <v>135</v>
      </c>
    </row>
    <row r="25" spans="1:3">
      <c r="A25" s="2">
        <v>24</v>
      </c>
      <c r="B25" s="2" t="s">
        <v>164</v>
      </c>
      <c r="C25" s="2" t="s">
        <v>135</v>
      </c>
    </row>
    <row r="26" spans="1:5">
      <c r="A26" s="2">
        <v>25</v>
      </c>
      <c r="B26" s="2" t="s">
        <v>165</v>
      </c>
      <c r="C26" s="2" t="s">
        <v>166</v>
      </c>
      <c r="D26" s="2" t="s">
        <v>167</v>
      </c>
      <c r="E26" s="2" t="s">
        <v>70</v>
      </c>
    </row>
    <row r="27" spans="1:5">
      <c r="A27" s="2">
        <v>26</v>
      </c>
      <c r="B27" s="2" t="s">
        <v>168</v>
      </c>
      <c r="C27" s="2" t="s">
        <v>169</v>
      </c>
      <c r="D27" s="2" t="s">
        <v>170</v>
      </c>
      <c r="E27" s="2" t="s">
        <v>171</v>
      </c>
    </row>
    <row r="28" spans="1:5">
      <c r="A28" s="2">
        <v>27</v>
      </c>
      <c r="B28" s="2" t="s">
        <v>172</v>
      </c>
      <c r="C28" s="2" t="s">
        <v>135</v>
      </c>
      <c r="D28" s="2" t="s">
        <v>173</v>
      </c>
      <c r="E28" s="2" t="s">
        <v>174</v>
      </c>
    </row>
    <row r="29" spans="1:5">
      <c r="A29" s="2">
        <v>28</v>
      </c>
      <c r="B29" s="2" t="s">
        <v>175</v>
      </c>
      <c r="C29" s="2" t="s">
        <v>135</v>
      </c>
      <c r="D29" s="2" t="s">
        <v>176</v>
      </c>
      <c r="E29" s="2" t="s">
        <v>177</v>
      </c>
    </row>
    <row r="30" spans="1:4">
      <c r="A30" s="2">
        <v>29</v>
      </c>
      <c r="B30" s="2" t="s">
        <v>12</v>
      </c>
      <c r="C30" s="2" t="s">
        <v>178</v>
      </c>
      <c r="D30" s="2" t="s">
        <v>179</v>
      </c>
    </row>
    <row r="31" spans="1:5">
      <c r="A31" s="2">
        <v>30</v>
      </c>
      <c r="B31" s="2" t="s">
        <v>180</v>
      </c>
      <c r="C31" s="2" t="s">
        <v>169</v>
      </c>
      <c r="D31" s="2" t="s">
        <v>181</v>
      </c>
      <c r="E31" s="2" t="s">
        <v>182</v>
      </c>
    </row>
    <row r="32" spans="1:5">
      <c r="A32" s="2">
        <v>31</v>
      </c>
      <c r="B32" s="2" t="s">
        <v>183</v>
      </c>
      <c r="C32" s="2" t="s">
        <v>121</v>
      </c>
      <c r="D32" s="2" t="s">
        <v>184</v>
      </c>
      <c r="E32" s="2" t="s">
        <v>185</v>
      </c>
    </row>
    <row r="33" spans="1:5">
      <c r="A33" s="2">
        <v>32</v>
      </c>
      <c r="B33" s="2" t="s">
        <v>186</v>
      </c>
      <c r="C33" s="2" t="s">
        <v>187</v>
      </c>
      <c r="D33" s="2" t="s">
        <v>188</v>
      </c>
      <c r="E33" s="2" t="s">
        <v>187</v>
      </c>
    </row>
    <row r="34" spans="1:5">
      <c r="A34" s="2">
        <v>33</v>
      </c>
      <c r="B34" s="2" t="s">
        <v>189</v>
      </c>
      <c r="C34" s="2" t="s">
        <v>190</v>
      </c>
      <c r="D34" s="2" t="s">
        <v>191</v>
      </c>
      <c r="E34" s="2" t="s">
        <v>190</v>
      </c>
    </row>
    <row r="35" spans="1:5">
      <c r="A35" s="2">
        <v>34</v>
      </c>
      <c r="B35" s="2" t="s">
        <v>192</v>
      </c>
      <c r="C35" s="2" t="s">
        <v>135</v>
      </c>
      <c r="D35" s="2" t="s">
        <v>193</v>
      </c>
      <c r="E35" s="2" t="s">
        <v>182</v>
      </c>
    </row>
    <row r="36" spans="1:5">
      <c r="A36" s="2">
        <v>35</v>
      </c>
      <c r="B36" s="2" t="s">
        <v>194</v>
      </c>
      <c r="C36" s="2"/>
      <c r="D36" s="2" t="s">
        <v>195</v>
      </c>
      <c r="E36" s="2" t="s">
        <v>196</v>
      </c>
    </row>
    <row r="37" spans="1:4">
      <c r="A37" s="2">
        <v>36</v>
      </c>
      <c r="B37" s="2" t="s">
        <v>197</v>
      </c>
      <c r="C37" s="2"/>
      <c r="D37" s="2" t="s">
        <v>198</v>
      </c>
    </row>
    <row r="38" spans="1:5">
      <c r="A38" s="2">
        <v>37</v>
      </c>
      <c r="B38" s="2" t="s">
        <v>199</v>
      </c>
      <c r="C38" s="2" t="s">
        <v>135</v>
      </c>
      <c r="D38" s="2" t="s">
        <v>200</v>
      </c>
      <c r="E38" s="2" t="s">
        <v>201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cfg_MapBuildLable_建造列表标签</vt:lpstr>
      <vt:lpstr>cfg_MapBuildItem_建造项数据</vt:lpstr>
      <vt:lpstr>cfg_BuildRule_建造规则</vt:lpstr>
      <vt:lpstr>数据类型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NO</cp:lastModifiedBy>
  <dcterms:created xsi:type="dcterms:W3CDTF">2023-05-12T11:15:00Z</dcterms:created>
  <dcterms:modified xsi:type="dcterms:W3CDTF">2025-10-29T15:16:22Z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D618D8C7923F446D88F8F55AE3288232_12</vt:lpwstr>
  </property>
</Properties>
</file>