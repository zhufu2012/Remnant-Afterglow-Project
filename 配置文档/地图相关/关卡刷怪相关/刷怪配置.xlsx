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connections.xml" ContentType="application/vnd.openxmlformats-officedocument.spreadsheetml.connections+xml"/>
  <Override PartName="/xl/queryTables/queryTable1.xml" ContentType="application/vnd.openxmlformats-officedocument.spreadsheetml.query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2"/>
  </bookViews>
  <sheets>
    <sheet name="cfg_CopyBrush_战役关卡刷怪数据" sheetId="9" r:id="rId1"/>
    <sheet name="cfg_BrushPoint_刷怪点数据" sheetId="7" r:id="rId2"/>
    <sheet name="cfg_WaveBase_波数配置" sheetId="8" r:id="rId3"/>
    <sheet name="cfg_UnitGroupData_单位组配置" sheetId="4" r:id="rId4"/>
    <sheet name="cfg_UnitGroupType_单位组类型" sheetId="5" r:id="rId5"/>
    <sheet name="数据类型" sheetId="2" r:id="rId6"/>
  </sheets>
  <definedNames>
    <definedName name="ExternalData_1" localSheetId="5">数据类型!#REF!</definedName>
    <definedName name="数据类型_Sheet1" localSheetId="5">数据类型!#REF!</definedName>
    <definedName name="连接" localSheetId="5">数据类型!$A$1:$E$38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23117829C72A4D1EB611C6413ABDE057" descr="敌方波次提示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8242935" y="1190625"/>
          <a:ext cx="619125" cy="619125"/>
        </a:xfrm>
        <a:prstGeom prst="rect">
          <a:avLst/>
        </a:prstGeom>
      </xdr:spPr>
    </xdr:pic>
  </etc:cellImage>
  <etc:cellImage>
    <xdr:pic>
      <xdr:nvPicPr>
        <xdr:cNvPr id="7" name="ID_9AEBCD3B6BDD45A680E647244E376B90" descr="敌方波次提示3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8309610" y="2628900"/>
          <a:ext cx="622935" cy="619125"/>
        </a:xfrm>
        <a:prstGeom prst="rect">
          <a:avLst/>
        </a:prstGeom>
      </xdr:spPr>
    </xdr:pic>
  </etc:cellImage>
  <etc:cellImage>
    <xdr:pic>
      <xdr:nvPicPr>
        <xdr:cNvPr id="6" name="ID_37153458CCA041888A6B8231417BA062" descr="敌方波次提示7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8357235" y="3239135"/>
          <a:ext cx="622935" cy="619125"/>
        </a:xfrm>
        <a:prstGeom prst="rect">
          <a:avLst/>
        </a:prstGeom>
      </xdr:spPr>
    </xdr:pic>
  </etc:cellImage>
  <etc:cellImage>
    <xdr:pic>
      <xdr:nvPicPr>
        <xdr:cNvPr id="5" name="ID_6DA239E6E1AA43FC9791BAB0D140E412" descr="敌方波次提示6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8404860" y="3886835"/>
          <a:ext cx="622935" cy="619125"/>
        </a:xfrm>
        <a:prstGeom prst="rect">
          <a:avLst/>
        </a:prstGeom>
      </xdr:spPr>
    </xdr:pic>
  </etc:cellImage>
  <etc:cellImage>
    <xdr:pic>
      <xdr:nvPicPr>
        <xdr:cNvPr id="4" name="ID_46417E94611C48BD8423CA81D050314A" descr="敌方波次提示5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8528685" y="4525645"/>
          <a:ext cx="622935" cy="619125"/>
        </a:xfrm>
        <a:prstGeom prst="rect">
          <a:avLst/>
        </a:prstGeom>
      </xdr:spPr>
    </xdr:pic>
  </etc:cellImage>
  <etc:cellImage>
    <xdr:pic>
      <xdr:nvPicPr>
        <xdr:cNvPr id="3" name="ID_E7E867ACD9744375AB976A4A614FB71B" descr="敌方波次提示4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8547735" y="5172710"/>
          <a:ext cx="622935" cy="619125"/>
        </a:xfrm>
        <a:prstGeom prst="rect">
          <a:avLst/>
        </a:prstGeom>
      </xdr:spPr>
    </xdr:pic>
  </etc:cellImage>
</etc:cellImages>
</file>

<file path=xl/connections.xml><?xml version="1.0" encoding="utf-8"?>
<connections xmlns="http://schemas.openxmlformats.org/spreadsheetml/2006/main">
  <connection id="1" odcFile="F:\Remnant Afterglow Project\工具\基础配置\数据类型.accdb 数据类型.odc" name="连接" type="1" refreshOnLoad="1" background="1" refreshedVersion="2" saveData="1">
    <dbPr connection="DSN=MS Access Database;DBQ=F:\REMNANT AFTERGLOW PROJECT\工具\基础配置\数据类型.accdb;DefaultDir=F:\REMNANT AFTERGLOW PROJECT\工具\基础配置;DriverId=25;FIL=MS Access;MaxBufferSize=2048;PageTimeout=5;" command="SELECT * FROM `数据类型`  ORDER BY `数据类型编号` ASC" commandType="2"/>
  </connection>
</connections>
</file>

<file path=xl/sharedStrings.xml><?xml version="1.0" encoding="utf-8"?>
<sst xmlns="http://schemas.openxmlformats.org/spreadsheetml/2006/main" count="898" uniqueCount="382">
  <si>
    <t>该表用于保存关卡刷怪基础数据
刷怪是从第一波开始，
关卡所有刷怪点统一使用一个关卡计数
数据不想填就写 #BASEVALUE</t>
  </si>
  <si>
    <t>战役id
cfg_ChapterBase_战役基础数据表id</t>
  </si>
  <si>
    <t>关卡id</t>
  </si>
  <si>
    <t>关卡名称-备注</t>
  </si>
  <si>
    <t xml:space="preserve">关卡刷怪类型
0 通用类型，造塔刷怪，
且无玩家实体
</t>
  </si>
  <si>
    <t>总波数</t>
  </si>
  <si>
    <t xml:space="preserve">关卡准备时间(秒)
准备时间内不会刷新怪物
</t>
  </si>
  <si>
    <t>波次默认刷怪完之后的间隔时间(秒)</t>
  </si>
  <si>
    <t xml:space="preserve">波次间隔时间列表
(1,10) 表示第一波10秒后刷新
没有配某波就默认为BrushSpace的时间
(波数，第一波间隔)|(波数，第二波间隔) 
</t>
  </si>
  <si>
    <t>刷怪点id列表
cfg_BrushPoint_刷怪点表id</t>
  </si>
  <si>
    <t>字段导出设置</t>
  </si>
  <si>
    <t>字段名称</t>
  </si>
  <si>
    <t>ChapterId</t>
  </si>
  <si>
    <t>CopyId</t>
  </si>
  <si>
    <t>a</t>
  </si>
  <si>
    <t>CopyType</t>
  </si>
  <si>
    <t>AllWave</t>
  </si>
  <si>
    <t>PrepareTime</t>
  </si>
  <si>
    <t>BrushSpace</t>
  </si>
  <si>
    <t>BrushSpaceList</t>
  </si>
  <si>
    <t>BrushIdList</t>
  </si>
  <si>
    <t>数据类型</t>
  </si>
  <si>
    <t>INT</t>
  </si>
  <si>
    <t>&lt;(INT)&gt;</t>
  </si>
  <si>
    <t>&lt;INT&gt;</t>
  </si>
  <si>
    <t>测试</t>
  </si>
  <si>
    <t>1</t>
  </si>
  <si>
    <t>(2,4)</t>
  </si>
  <si>
    <t>4</t>
  </si>
  <si>
    <t>2|3|4</t>
  </si>
  <si>
    <t>5|6</t>
  </si>
  <si>
    <t>1-1战役模式-常规-初启协议</t>
  </si>
  <si>
    <t>10101|10102</t>
  </si>
  <si>
    <t>1-2战役模式-常规-网格枢纽</t>
  </si>
  <si>
    <t>10201|10202|10203|10204</t>
  </si>
  <si>
    <t>1-3战役模式-常规-怨灵水晶</t>
  </si>
  <si>
    <t>10301|10302</t>
  </si>
  <si>
    <t>1-4战役模式-常规-棱镜之井</t>
  </si>
  <si>
    <t>10401|10402|10403</t>
  </si>
  <si>
    <t>1-5战役模式-常规-钢铁洪流</t>
  </si>
  <si>
    <t>10501|10502|10503</t>
  </si>
  <si>
    <t>1-6战役模式-常规-重炮破晓</t>
  </si>
  <si>
    <t>10601|10602|10603</t>
  </si>
  <si>
    <t>1-7战役模式-常规-次元岛装置</t>
  </si>
  <si>
    <t>该表用于配置刷怪点
关卡开始时，会遍历所有刷新点，
并且遍历各刷怪点的刷怪波，
设置各刷新点刷新时间
数据不想填就写 #BASEVALUE</t>
  </si>
  <si>
    <t>刷怪点id
同步另一个表
cfg_Wave_刷怪波数</t>
  </si>
  <si>
    <t>刷怪点描述</t>
  </si>
  <si>
    <t>刷怪点所在地图位置
（左上角位置X,左上角位置Y）|（横轴，纵轴）</t>
  </si>
  <si>
    <t>最终目标，这个刷怪点刷出的单位都走向这个目标点</t>
  </si>
  <si>
    <t>刷怪波数id列表</t>
  </si>
  <si>
    <t>BrushId</t>
  </si>
  <si>
    <t>BrushDes</t>
  </si>
  <si>
    <t>BrushPosList</t>
  </si>
  <si>
    <t>TargetPos</t>
  </si>
  <si>
    <t>WaveIdList</t>
  </si>
  <si>
    <t>STR</t>
  </si>
  <si>
    <t>&lt;Vector2I&gt;</t>
  </si>
  <si>
    <t>Vector2I</t>
  </si>
  <si>
    <t>刷怪点测试</t>
  </si>
  <si>
    <t>(16,1)|（3,3）</t>
  </si>
  <si>
    <t>(28,36)</t>
  </si>
  <si>
    <t>1|2</t>
  </si>
  <si>
    <t>(21,1)|（2,2）</t>
  </si>
  <si>
    <t>(28,1)|（2,2）</t>
  </si>
  <si>
    <t>(16,3)|（8,8）</t>
  </si>
  <si>
    <t>(26,41)</t>
  </si>
  <si>
    <t>(28,12)|(1,1)</t>
  </si>
  <si>
    <t>1|2|3|4|5|6|7|8|9|10|11|12</t>
  </si>
  <si>
    <t>(13,0)|(1,1)</t>
  </si>
  <si>
    <t>7|8|9|10|11|12</t>
  </si>
  <si>
    <t>(1,2)|（47,0）</t>
  </si>
  <si>
    <t>(23,45)</t>
  </si>
  <si>
    <t>1|2|3|4</t>
  </si>
  <si>
    <t>1-1初启协议-常规</t>
  </si>
  <si>
    <t>←↑角刷怪点</t>
  </si>
  <si>
    <t>(19,0)|(7,0)</t>
  </si>
  <si>
    <t>(24,38)</t>
  </si>
  <si>
    <t>1|2|3|4|5|6|7|8</t>
  </si>
  <si>
    <t>↑→角刷怪点</t>
  </si>
  <si>
    <t>(25,0)|(6,0)</t>
  </si>
  <si>
    <t>(25,38)</t>
  </si>
  <si>
    <t>1-2网格枢纽-常规</t>
  </si>
  <si>
    <t>↗角刷怪点</t>
  </si>
  <si>
    <t>(49,6)|(0,8)</t>
  </si>
  <si>
    <t>(39,24)</t>
  </si>
  <si>
    <t>1|2|3|4|5|6|7|8|9|10</t>
  </si>
  <si>
    <t>↘角刷怪点</t>
  </si>
  <si>
    <t>(49,34)|(0,8)</t>
  </si>
  <si>
    <t>(39,27)</t>
  </si>
  <si>
    <t>4|5|6|7|8|9|10</t>
  </si>
  <si>
    <t>(0,18)|(0,7)</t>
  </si>
  <si>
    <t>8|9|10</t>
  </si>
  <si>
    <t>←↓角刷怪点</t>
  </si>
  <si>
    <t>(0,24)|(0,6)</t>
  </si>
  <si>
    <t>1-3怨灵水晶-常规</t>
  </si>
  <si>
    <t>←角刷怪点</t>
  </si>
  <si>
    <t>(0,9)|(0,6)</t>
  </si>
  <si>
    <t>(23,39)</t>
  </si>
  <si>
    <t>→角刷怪点</t>
  </si>
  <si>
    <t>(49,9)|(0,6)</t>
  </si>
  <si>
    <t>(24,39)</t>
  </si>
  <si>
    <t>1-4棱镜之井-常规</t>
  </si>
  <si>
    <t>(0,29)|(0,6)</t>
  </si>
  <si>
    <t>(24,33)</t>
  </si>
  <si>
    <t>1|2|3|4|5|6|7|8|9|10|11</t>
  </si>
  <si>
    <t>↑角刷怪点</t>
  </si>
  <si>
    <t>(21,0)|(7,0)</t>
  </si>
  <si>
    <t>6|7|8|9|10|11</t>
  </si>
  <si>
    <t>(49,29)|(0,6)</t>
  </si>
  <si>
    <t>(25,33)</t>
  </si>
  <si>
    <t>1-5钢铁洪流-常规</t>
  </si>
  <si>
    <t>(5,0)|(8,0)</t>
  </si>
  <si>
    <t>(24,42)</t>
  </si>
  <si>
    <t>5|6|7|8|9|10|11</t>
  </si>
  <si>
    <t>(20,0)|(9,0)</t>
  </si>
  <si>
    <t>(36,0)|(8,0)</t>
  </si>
  <si>
    <t>9|10|11</t>
  </si>
  <si>
    <t>1-6重炮破晓-常规</t>
  </si>
  <si>
    <t>(7,0)|(8,0)</t>
  </si>
  <si>
    <t>(44,19)</t>
  </si>
  <si>
    <t>(49,6)|(0,6)</t>
  </si>
  <si>
    <t>↓→角刷怪点</t>
  </si>
  <si>
    <t>(49,27)|(0,7)</t>
  </si>
  <si>
    <t>(44,20)</t>
  </si>
  <si>
    <t>这个点用来配置地图波数配置
数据不想填就写 #BASEVALUE</t>
  </si>
  <si>
    <t>刷怪点id</t>
  </si>
  <si>
    <t>波次Id
（波数从1开始，一直
到各刷新点中存在的
最大波数为止）</t>
  </si>
  <si>
    <t>波次名称</t>
  </si>
  <si>
    <t>单位组间隔时间</t>
  </si>
  <si>
    <t>刷新单位组
(单位组id1,刷新次数1)|(单位组id2,刷新次数2)</t>
  </si>
  <si>
    <t>WaveId</t>
  </si>
  <si>
    <t>WaveName</t>
  </si>
  <si>
    <t>#WaveUnitGroup</t>
  </si>
  <si>
    <t>第一波</t>
  </si>
  <si>
    <t>(9002,1)|(9001,1)</t>
  </si>
  <si>
    <t>第二波</t>
  </si>
  <si>
    <t>(7001,1)|(7002,1)|(8001,1)|(8002,1)</t>
  </si>
  <si>
    <t>(8001,1)</t>
  </si>
  <si>
    <t>(8001,2)</t>
  </si>
  <si>
    <t>第1波</t>
  </si>
  <si>
    <t>第2波</t>
  </si>
  <si>
    <t>第3波</t>
  </si>
  <si>
    <t>第4波</t>
  </si>
  <si>
    <t>第5波</t>
  </si>
  <si>
    <t>第6波</t>
  </si>
  <si>
    <t>第7波</t>
  </si>
  <si>
    <t>第8波</t>
  </si>
  <si>
    <t>第9波</t>
  </si>
  <si>
    <t>第10波</t>
  </si>
  <si>
    <t>第11波</t>
  </si>
  <si>
    <t>第12波</t>
  </si>
  <si>
    <t>(9002,40)|(9001,40)</t>
  </si>
  <si>
    <t>(7001,100)</t>
  </si>
  <si>
    <t>(8001,100)</t>
  </si>
  <si>
    <t>(8002,100)</t>
  </si>
  <si>
    <t>(1,10)|(8007,2)|(10001,1)|(10003,1)</t>
  </si>
  <si>
    <t>(1,10)|(8007,2)</t>
  </si>
  <si>
    <t>(1,11)</t>
  </si>
  <si>
    <t>(1,12)</t>
  </si>
  <si>
    <t>(1,13)</t>
  </si>
  <si>
    <t>(1,14)</t>
  </si>
  <si>
    <t>(1,15)</t>
  </si>
  <si>
    <t>(1,16)</t>
  </si>
  <si>
    <t>(1,17)</t>
  </si>
  <si>
    <t>(1,10)</t>
  </si>
  <si>
    <t>(1,20)</t>
  </si>
  <si>
    <t>(1,25)</t>
  </si>
  <si>
    <t>(1,30)</t>
  </si>
  <si>
    <t>(1,35)</t>
  </si>
  <si>
    <t>(1,40)</t>
  </si>
  <si>
    <t>(1,50)|(9001,1)</t>
  </si>
  <si>
    <t>(1,60)|(9001,2)</t>
  </si>
  <si>
    <t>(1,70)|(9001,3)</t>
  </si>
  <si>
    <t>(1,30)|(9001,1)</t>
  </si>
  <si>
    <t>(1,40)|(9001,2)</t>
  </si>
  <si>
    <t>(1,50)|(9001,3)</t>
  </si>
  <si>
    <t>(1,50)|(9002,1)</t>
  </si>
  <si>
    <t>(1,50)|(9002,3)</t>
  </si>
  <si>
    <t>(1,50)|(9002,5)</t>
  </si>
  <si>
    <t>(7009,10)</t>
  </si>
  <si>
    <t>(1,18)</t>
  </si>
  <si>
    <t>(1,19)</t>
  </si>
  <si>
    <t>(7010,10)</t>
  </si>
  <si>
    <t>(2,100)</t>
  </si>
  <si>
    <t>(1,10)|(2,10)</t>
  </si>
  <si>
    <t>拥有爬行单位</t>
  </si>
  <si>
    <t>该表保存单位组配置，
副本刷新时，就是刷新一个个单位组
不想填就填#BASEVALUE</t>
  </si>
  <si>
    <t>单位组ID</t>
  </si>
  <si>
    <t>单位组名称</t>
  </si>
  <si>
    <t>单位组描述</t>
  </si>
  <si>
    <t>单位组出场描述</t>
  </si>
  <si>
    <t>单位id及刷新概率
(单位id,刷新概率)
单个概率是与所有概率之和的比例</t>
  </si>
  <si>
    <t>单位数量区间
(最小刷新量，最大刷新量)</t>
  </si>
  <si>
    <t>单位与单位之间刷新间隔（帧数）</t>
  </si>
  <si>
    <t>GroupId</t>
  </si>
  <si>
    <t>Name</t>
  </si>
  <si>
    <t>Describe</t>
  </si>
  <si>
    <t>ShowDescribe</t>
  </si>
  <si>
    <t>#UnitList</t>
  </si>
  <si>
    <t>#CountInterval</t>
  </si>
  <si>
    <t>&lt;2&gt;#Interval</t>
  </si>
  <si>
    <t>(INT)</t>
  </si>
  <si>
    <t>装甲人形</t>
  </si>
  <si>
    <t>小型，近战，物理，拥有装甲，防御力强</t>
  </si>
  <si>
    <t>(7001,1)</t>
  </si>
  <si>
    <t>(1,1)</t>
  </si>
  <si>
    <t>自爆人形</t>
  </si>
  <si>
    <t>小型，近战，爆炸，靠近目标后会爆炸，产生小范围的爆炸伤害</t>
  </si>
  <si>
    <t>(7002,1)</t>
  </si>
  <si>
    <t>好战者</t>
  </si>
  <si>
    <t>中型，近战</t>
  </si>
  <si>
    <t>(7003,1)</t>
  </si>
  <si>
    <t>翻越者</t>
  </si>
  <si>
    <t>(7006,1)</t>
  </si>
  <si>
    <t>刺击者</t>
  </si>
  <si>
    <t>(7009,1)</t>
  </si>
  <si>
    <t>胶囊</t>
  </si>
  <si>
    <t>中型，近战，重生</t>
  </si>
  <si>
    <t>(7010,1)</t>
  </si>
  <si>
    <t>作战人形</t>
  </si>
  <si>
    <t>中程</t>
  </si>
  <si>
    <t>射手人形</t>
  </si>
  <si>
    <t>成群结队，远程，物理，装备双枪，会持续射击</t>
  </si>
  <si>
    <t>(8002,1)</t>
  </si>
  <si>
    <t>枪手</t>
  </si>
  <si>
    <t>中型，远程</t>
  </si>
  <si>
    <t>(8003,1)</t>
  </si>
  <si>
    <t>等离子</t>
  </si>
  <si>
    <t>极远程,等离子激光</t>
  </si>
  <si>
    <t>超远程攻击，是大多数炮塔的梦魇，本体脆弱，可尝试用道具消灭</t>
  </si>
  <si>
    <t>(8004,1)</t>
  </si>
  <si>
    <t>速射战车</t>
  </si>
  <si>
    <t>中小型,速射炮</t>
  </si>
  <si>
    <t>轻型机动车辆，装备一门速射炮，可以快速突破防线</t>
  </si>
  <si>
    <t>(8005,1)</t>
  </si>
  <si>
    <t>臼炮战车</t>
  </si>
  <si>
    <t>中小型,火力臼炮</t>
  </si>
  <si>
    <t>轻型机动车辆，装备火力臼炮，快速抵达目标周围进行火力输出</t>
  </si>
  <si>
    <t>(8006,1)</t>
  </si>
  <si>
    <t>怒火级陆行舰</t>
  </si>
  <si>
    <t>一种来自远古的沙漠陆行舰设计，在沙漠中运输的高效手段，如今上方已经搭载了大量的火力炮塔，随时作战</t>
  </si>
  <si>
    <t>(8007,1)</t>
  </si>
  <si>
    <t>冲击钻头</t>
  </si>
  <si>
    <t>中型，攻城</t>
  </si>
  <si>
    <t>(9001,1)</t>
  </si>
  <si>
    <t>推土机</t>
  </si>
  <si>
    <t>中型，攻城，护甲</t>
  </si>
  <si>
    <t>(9002,1)</t>
  </si>
  <si>
    <t>小型作战军团1号</t>
  </si>
  <si>
    <t>前期用，小型</t>
  </si>
  <si>
    <t>内含少量的装甲人形和较多的作战人形</t>
  </si>
  <si>
    <t>(7001,2)|(8001,5)</t>
  </si>
  <si>
    <t>中型测试组</t>
  </si>
  <si>
    <t>好战者，翻越者，刺击者，枪手</t>
  </si>
  <si>
    <t>(7003,1)|(7006,1)|(7009,1)|(8003,1)|(8004,1)|(8005,1)|(8006,1)</t>
  </si>
  <si>
    <t>干扰体</t>
  </si>
  <si>
    <t>(10001,1)</t>
  </si>
  <si>
    <t>侦测者</t>
  </si>
  <si>
    <t>(10003,1)</t>
  </si>
  <si>
    <t>加固侦测者</t>
  </si>
  <si>
    <t>(10004,1)</t>
  </si>
  <si>
    <t>干扰侦测者</t>
  </si>
  <si>
    <t>(10005,1)</t>
  </si>
  <si>
    <t>导弹攻坚者</t>
  </si>
  <si>
    <t>(10006,1)</t>
  </si>
  <si>
    <t>大型导弹攻坚者</t>
  </si>
  <si>
    <t>(10007,1)</t>
  </si>
  <si>
    <t>小型炮艇</t>
  </si>
  <si>
    <t>(10008,1)</t>
  </si>
  <si>
    <t>大型炮艇</t>
  </si>
  <si>
    <t>(10009,1)</t>
  </si>
  <si>
    <t>旋翼</t>
  </si>
  <si>
    <t>(10019,1)</t>
  </si>
  <si>
    <t>大型旋翼</t>
  </si>
  <si>
    <t>(10020,1)</t>
  </si>
  <si>
    <t>自毁者</t>
  </si>
  <si>
    <t>(10023,1)</t>
  </si>
  <si>
    <t>磁壳自毁者</t>
  </si>
  <si>
    <t>(10024,1)</t>
  </si>
  <si>
    <t>重投轰炸机</t>
  </si>
  <si>
    <t>(10025,1)</t>
  </si>
  <si>
    <t>运输飞艇A型</t>
  </si>
  <si>
    <t>(10031,1)</t>
  </si>
  <si>
    <t>字段导出设置
默认#BASEVALUE</t>
  </si>
  <si>
    <t>单位组类型</t>
  </si>
  <si>
    <t>单位组显示名称</t>
  </si>
  <si>
    <t>单位出现提示图片</t>
  </si>
  <si>
    <t>GroupTypeId</t>
  </si>
  <si>
    <t>ShowName</t>
  </si>
  <si>
    <t>PromptPng</t>
  </si>
  <si>
    <t>PNG</t>
  </si>
  <si>
    <t>小规模</t>
  </si>
  <si>
    <t>中等规模</t>
  </si>
  <si>
    <t>大批敌军</t>
  </si>
  <si>
    <t>主力部队</t>
  </si>
  <si>
    <t>精锐</t>
  </si>
  <si>
    <t>决战兵器</t>
  </si>
  <si>
    <t>特殊编制</t>
  </si>
  <si>
    <t>数据类型编号</t>
  </si>
  <si>
    <t>数据类型名称</t>
  </si>
  <si>
    <t>默认值</t>
  </si>
  <si>
    <t>数据类型描述</t>
  </si>
  <si>
    <t>数据类型示例</t>
  </si>
  <si>
    <t>BOOL</t>
  </si>
  <si>
    <t>True</t>
  </si>
  <si>
    <t>布尔值，用于表示 是或者否，True为是，False为否</t>
  </si>
  <si>
    <t>True       False</t>
  </si>
  <si>
    <t>SHORT</t>
  </si>
  <si>
    <t>0</t>
  </si>
  <si>
    <t>短整数类型，用于表示一些比较小的整数 -32768 到 32767，少用</t>
  </si>
  <si>
    <t>11112      -21232</t>
  </si>
  <si>
    <t>整数类型，适合在大多数时候用于保存配置id，-2147483648到2147483647</t>
  </si>
  <si>
    <t>1212312321</t>
  </si>
  <si>
    <t>LONG</t>
  </si>
  <si>
    <t>长整数类型，用于保存大的整数，-9223372036854775808到9223372036854775807</t>
  </si>
  <si>
    <t>52122122111111</t>
  </si>
  <si>
    <t>FLOAT</t>
  </si>
  <si>
    <t>单精度浮点型，整数部分范围很大，小数部分，float的精度为6~7位有效数字，绝对能保证6位小数正常</t>
  </si>
  <si>
    <t>554.1233  622125.1231</t>
  </si>
  <si>
    <t>字符串，用于保存如介绍，描述等文本，通常不必担心长度</t>
  </si>
  <si>
    <t>你好</t>
  </si>
  <si>
    <t>&lt;BOOL&gt;</t>
  </si>
  <si>
    <t>[]</t>
  </si>
  <si>
    <t>布尔值列表，用于保存一个由布尔值组成的列表</t>
  </si>
  <si>
    <t>True|True|False</t>
  </si>
  <si>
    <t>&lt;SHORT&gt;</t>
  </si>
  <si>
    <t>短整数列表，用于保存一个由短整数组成的列表</t>
  </si>
  <si>
    <t>123|121|434|-121</t>
  </si>
  <si>
    <t>整数列表，用于保存一个由整数组成的列表</t>
  </si>
  <si>
    <t>2323232|1212|2343|545</t>
  </si>
  <si>
    <t>&lt;LONG&gt;</t>
  </si>
  <si>
    <t>长整数列表，用于保存一个由长整数组成的列表</t>
  </si>
  <si>
    <t>52122122111111|1223434433</t>
  </si>
  <si>
    <t>&lt;FLOAT&gt;</t>
  </si>
  <si>
    <t>小数列表，用于保存一个由小数组成的列表</t>
  </si>
  <si>
    <t>554.1233|12.12</t>
  </si>
  <si>
    <t>&lt;STR&gt;</t>
  </si>
  <si>
    <t>字符串列表</t>
  </si>
  <si>
    <t>(BOOL)</t>
  </si>
  <si>
    <t>()</t>
  </si>
  <si>
    <t>(SHORT)</t>
  </si>
  <si>
    <t>(LONG)</t>
  </si>
  <si>
    <t>(FLOAT)</t>
  </si>
  <si>
    <t>(STR)</t>
  </si>
  <si>
    <t>&lt;(BOOL)&gt;</t>
  </si>
  <si>
    <t>&lt;(SHORT)&gt;</t>
  </si>
  <si>
    <t>&lt;(LONG)&gt;</t>
  </si>
  <si>
    <t>&lt;(FLOAT)&gt;</t>
  </si>
  <si>
    <t>&lt;(STR)&gt;</t>
  </si>
  <si>
    <t>LANG</t>
  </si>
  <si>
    <t>KeyBase</t>
  </si>
  <si>
    <t>语言id 是语言配置的id</t>
  </si>
  <si>
    <t>POINT</t>
  </si>
  <si>
    <t>(0,0)</t>
  </si>
  <si>
    <t>保存小数二维坐标的类型</t>
  </si>
  <si>
    <t>(1.2,3.5)</t>
  </si>
  <si>
    <t>&lt;LANG&gt;</t>
  </si>
  <si>
    <t>语言id列表</t>
  </si>
  <si>
    <t>&lt;POINT&gt;</t>
  </si>
  <si>
    <t>坐标点列表，Vector2的列表，用于保存小数二维坐标列表的类型</t>
  </si>
  <si>
    <t>(1.2,3.5)|(1.4,3.2)</t>
  </si>
  <si>
    <t>null</t>
  </si>
  <si>
    <t>Png图片，通常用于导出散图，导出单元格图片后，放在config\images\下</t>
  </si>
  <si>
    <t>整数类型的二维坐标</t>
  </si>
  <si>
    <t>(1,2)</t>
  </si>
  <si>
    <t>ULONG</t>
  </si>
  <si>
    <t>长整数类型，用于保存大的整数，0到18,446,744,073,709,551,615（即2^64 - 1）的非负整数值</t>
  </si>
  <si>
    <t>12312312321</t>
  </si>
  <si>
    <t>RGB</t>
  </si>
  <si>
    <t>(0,0,0)</t>
  </si>
  <si>
    <t>颜色类型rgb (x,x,x) x最大255</t>
  </si>
  <si>
    <t>RGBA</t>
  </si>
  <si>
    <t>(0,0,0,0)</t>
  </si>
  <si>
    <t>颜色类型rgba (x,x,x,x) x最大255</t>
  </si>
  <si>
    <t>整数类型的整数二维坐标 的列表</t>
  </si>
  <si>
    <t>SequenceMap</t>
  </si>
  <si>
    <t>序列图的json文件名称，记得把对应的图片放在Remnant Afterglow\data\sequence_map文件夹下</t>
  </si>
  <si>
    <t>序列图名称.json</t>
  </si>
  <si>
    <t>BBCode</t>
  </si>
  <si>
    <t>BBCode是一种轻量标记语言，具体填写规则https://docs.godotengine.org/en/latest/tutorials/ui/bbcode_in_richtextlabel.html</t>
  </si>
  <si>
    <t>HashSet&lt;INT&gt;</t>
  </si>
  <si>
    <t>确保唯一的Int列表，c#中的HashSet&lt;int&gt;类型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</si>
</sst>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b/>
      <sz val="12"/>
      <color theme="1"/>
      <name val="宋体"/>
      <charset val="134"/>
      <scheme val="minor"/>
    </font>
    <font>
      <sz val="10"/>
      <color theme="1"/>
      <name val="黑体"/>
      <charset val="134"/>
    </font>
    <font>
      <sz val="10"/>
      <color theme="1"/>
      <name val="宋体"/>
      <charset val="134"/>
      <scheme val="minor"/>
    </font>
    <font>
      <sz val="11"/>
      <color rgb="FF000000"/>
      <name val="宋体"/>
      <charset val="134"/>
      <scheme val="minor"/>
    </font>
    <font>
      <b/>
      <sz val="12"/>
      <name val="宋体"/>
      <charset val="134"/>
    </font>
    <font>
      <sz val="12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75BD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0" borderId="1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4" applyNumberFormat="0" applyFill="0" applyAlignment="0" applyProtection="0">
      <alignment vertical="center"/>
    </xf>
    <xf numFmtId="0" fontId="15" fillId="0" borderId="14" applyNumberFormat="0" applyFill="0" applyAlignment="0" applyProtection="0">
      <alignment vertical="center"/>
    </xf>
    <xf numFmtId="0" fontId="16" fillId="0" borderId="1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1" borderId="16" applyNumberFormat="0" applyAlignment="0" applyProtection="0">
      <alignment vertical="center"/>
    </xf>
    <xf numFmtId="0" fontId="18" fillId="12" borderId="17" applyNumberFormat="0" applyAlignment="0" applyProtection="0">
      <alignment vertical="center"/>
    </xf>
    <xf numFmtId="0" fontId="19" fillId="12" borderId="16" applyNumberFormat="0" applyAlignment="0" applyProtection="0">
      <alignment vertical="center"/>
    </xf>
    <xf numFmtId="0" fontId="20" fillId="13" borderId="18" applyNumberFormat="0" applyAlignment="0" applyProtection="0">
      <alignment vertical="center"/>
    </xf>
    <xf numFmtId="0" fontId="21" fillId="0" borderId="19" applyNumberFormat="0" applyFill="0" applyAlignment="0" applyProtection="0">
      <alignment vertical="center"/>
    </xf>
    <xf numFmtId="0" fontId="22" fillId="0" borderId="20" applyNumberFormat="0" applyFill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</cellStyleXfs>
  <cellXfs count="56">
    <xf numFmtId="0" fontId="0" fillId="0" borderId="0" xfId="0">
      <alignment vertical="center"/>
    </xf>
    <xf numFmtId="0" fontId="1" fillId="0" borderId="0" xfId="0" applyFont="1" applyAlignment="1">
      <alignment vertical="center"/>
    </xf>
    <xf numFmtId="0" fontId="0" fillId="0" borderId="0" xfId="0" applyNumberFormat="1" applyAlignment="1">
      <alignment vertical="center"/>
    </xf>
    <xf numFmtId="0" fontId="2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0" fillId="0" borderId="0" xfId="0" applyFill="1">
      <alignment vertical="center"/>
    </xf>
    <xf numFmtId="49" fontId="0" fillId="0" borderId="0" xfId="0" applyNumberFormat="1" applyAlignment="1">
      <alignment horizontal="center" vertical="center"/>
    </xf>
    <xf numFmtId="49" fontId="7" fillId="7" borderId="0" xfId="0" applyNumberFormat="1" applyFont="1" applyFill="1" applyBorder="1" applyAlignment="1">
      <alignment horizontal="left" vertical="center" wrapText="1"/>
    </xf>
    <xf numFmtId="0" fontId="7" fillId="2" borderId="0" xfId="0" applyFont="1" applyFill="1" applyBorder="1" applyAlignment="1">
      <alignment horizontal="center" vertical="center"/>
    </xf>
    <xf numFmtId="0" fontId="7" fillId="7" borderId="0" xfId="0" applyFont="1" applyFill="1" applyBorder="1" applyAlignment="1">
      <alignment horizontal="center" vertical="center" wrapText="1"/>
    </xf>
    <xf numFmtId="0" fontId="7" fillId="7" borderId="0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49" fontId="3" fillId="7" borderId="0" xfId="0" applyNumberFormat="1" applyFont="1" applyFill="1" applyAlignment="1">
      <alignment horizontal="center" vertical="center" wrapText="1"/>
    </xf>
    <xf numFmtId="49" fontId="7" fillId="0" borderId="0" xfId="0" applyNumberFormat="1" applyFont="1" applyFill="1" applyBorder="1" applyAlignment="1">
      <alignment horizontal="center" vertical="center"/>
    </xf>
    <xf numFmtId="0" fontId="7" fillId="0" borderId="0" xfId="0" applyFont="1" applyFill="1" applyBorder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horizontal="center" vertical="center" wrapText="1"/>
    </xf>
    <xf numFmtId="0" fontId="2" fillId="0" borderId="0" xfId="0" applyFont="1" applyFill="1" applyAlignment="1">
      <alignment horizontal="center" vertical="center"/>
    </xf>
    <xf numFmtId="0" fontId="8" fillId="0" borderId="0" xfId="0" applyFont="1" applyFill="1" applyAlignment="1">
      <alignment horizontal="center" vertical="center"/>
    </xf>
    <xf numFmtId="49" fontId="2" fillId="0" borderId="0" xfId="0" applyNumberFormat="1" applyFont="1" applyFill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8" borderId="4" xfId="0" applyFill="1" applyBorder="1">
      <alignment vertical="center"/>
    </xf>
    <xf numFmtId="0" fontId="0" fillId="9" borderId="5" xfId="0" applyFill="1" applyBorder="1">
      <alignment vertical="center"/>
    </xf>
    <xf numFmtId="0" fontId="0" fillId="9" borderId="0" xfId="0" applyFill="1">
      <alignment vertical="center"/>
    </xf>
    <xf numFmtId="0" fontId="0" fillId="9" borderId="6" xfId="0" applyFill="1" applyBorder="1">
      <alignment vertical="center"/>
    </xf>
    <xf numFmtId="0" fontId="0" fillId="8" borderId="4" xfId="0" applyFill="1" applyBorder="1" applyAlignment="1">
      <alignment horizontal="center" vertical="center"/>
    </xf>
    <xf numFmtId="49" fontId="7" fillId="2" borderId="0" xfId="0" applyNumberFormat="1" applyFont="1" applyFill="1" applyBorder="1" applyAlignment="1">
      <alignment horizontal="center" vertical="center" wrapText="1"/>
    </xf>
    <xf numFmtId="0" fontId="7" fillId="2" borderId="0" xfId="0" applyFont="1" applyFill="1" applyBorder="1" applyAlignment="1">
      <alignment horizontal="center" vertical="center" wrapText="1"/>
    </xf>
    <xf numFmtId="0" fontId="3" fillId="7" borderId="0" xfId="0" applyFont="1" applyFill="1" applyAlignment="1">
      <alignment horizontal="center" vertical="center" wrapText="1"/>
    </xf>
    <xf numFmtId="49" fontId="8" fillId="0" borderId="0" xfId="0" applyNumberFormat="1" applyFont="1" applyFill="1" applyAlignment="1">
      <alignment horizontal="center" vertical="center"/>
    </xf>
    <xf numFmtId="0" fontId="8" fillId="9" borderId="7" xfId="0" applyFont="1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  <xf numFmtId="0" fontId="2" fillId="9" borderId="8" xfId="0" applyFont="1" applyFill="1" applyBorder="1" applyAlignment="1">
      <alignment horizontal="center" vertical="center"/>
    </xf>
    <xf numFmtId="0" fontId="8" fillId="9" borderId="9" xfId="0" applyFont="1" applyFill="1" applyBorder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9" borderId="10" xfId="0" applyFont="1" applyFill="1" applyBorder="1" applyAlignment="1">
      <alignment horizontal="center" vertical="center"/>
    </xf>
    <xf numFmtId="0" fontId="8" fillId="9" borderId="11" xfId="0" applyFont="1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2" fillId="9" borderId="6" xfId="0" applyFont="1" applyFill="1" applyBorder="1" applyAlignment="1">
      <alignment horizontal="center" vertical="center"/>
    </xf>
    <xf numFmtId="0" fontId="2" fillId="9" borderId="12" xfId="0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7" fillId="2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6" Type="http://schemas.openxmlformats.org/officeDocument/2006/relationships/image" Target="media/image6.png"/><Relationship Id="rId5" Type="http://schemas.openxmlformats.org/officeDocument/2006/relationships/image" Target="media/image5.png"/><Relationship Id="rId4" Type="http://schemas.openxmlformats.org/officeDocument/2006/relationships/image" Target="media/image4.png"/><Relationship Id="rId3" Type="http://schemas.openxmlformats.org/officeDocument/2006/relationships/image" Target="media/image3.png"/><Relationship Id="rId2" Type="http://schemas.openxmlformats.org/officeDocument/2006/relationships/image" Target="media/image2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connections" Target="connections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www.wps.cn/officeDocument/2020/cellImage" Target="cellimages.xml"/><Relationship Id="rId1" Type="http://schemas.openxmlformats.org/officeDocument/2006/relationships/worksheet" Target="worksheets/sheet1.xml"/></Relationships>
</file>

<file path=xl/queryTables/queryTable1.xml><?xml version="1.0" encoding="utf-8"?>
<queryTable xmlns="http://schemas.openxmlformats.org/spreadsheetml/2006/main" name="连接" growShrinkType="overwriteClear" refreshOnLoad="1" connectionId="1" autoFormatId="16" applyNumberFormats="0" applyBorderFormats="0" applyFontFormats="1" applyPatternFormats="1" applyAlignmentFormats="0" applyWidthHeightFormats="0">
  <queryTableRefresh preserveSortFilterLayout="0" nextId="6">
    <queryTableFields count="5">
      <queryTableField id="1" name="数据类型编号"/>
      <queryTableField id="2" name="数据类型名称"/>
      <queryTableField id="3" name="默认值"/>
      <queryTableField id="4" name="数据类型描述"/>
      <queryTableField id="5" name="数据类型示例"/>
    </queryTableFields>
  </queryTableRefresh>
</query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5"/>
  <sheetViews>
    <sheetView zoomScale="145" zoomScaleNormal="145" workbookViewId="0">
      <selection activeCell="F23" sqref="F23"/>
    </sheetView>
  </sheetViews>
  <sheetFormatPr defaultColWidth="9" defaultRowHeight="13.5"/>
  <cols>
    <col min="1" max="1" width="43.375" style="7" customWidth="1"/>
    <col min="2" max="2" width="29.5" style="7" customWidth="1"/>
    <col min="3" max="3" width="10.5" style="7" customWidth="1"/>
    <col min="4" max="4" width="32.4083333333333" style="7" customWidth="1"/>
    <col min="5" max="6" width="25" style="7" customWidth="1"/>
    <col min="7" max="7" width="25.8583333333333" style="7" customWidth="1"/>
    <col min="8" max="8" width="16" style="7" customWidth="1"/>
    <col min="9" max="10" width="33.625" style="7" customWidth="1"/>
    <col min="11" max="16384" width="9" style="7"/>
  </cols>
  <sheetData>
    <row r="1" ht="114" spans="1:10">
      <c r="A1" s="37" t="s">
        <v>0</v>
      </c>
      <c r="B1" s="38" t="s">
        <v>1</v>
      </c>
      <c r="C1" s="38" t="s">
        <v>2</v>
      </c>
      <c r="D1" s="5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</row>
    <row r="2" ht="14.25" spans="1:10">
      <c r="A2" s="23" t="s">
        <v>10</v>
      </c>
      <c r="B2" s="24">
        <v>1</v>
      </c>
      <c r="C2" s="24">
        <v>1</v>
      </c>
      <c r="D2" s="25">
        <v>0</v>
      </c>
      <c r="E2" s="8">
        <v>2</v>
      </c>
      <c r="F2" s="55">
        <v>2</v>
      </c>
      <c r="G2" s="55">
        <v>2</v>
      </c>
      <c r="H2" s="55">
        <v>2</v>
      </c>
      <c r="I2" s="55">
        <v>2</v>
      </c>
      <c r="J2" s="55">
        <v>3</v>
      </c>
    </row>
    <row r="3" ht="14.25" spans="1:10">
      <c r="A3" s="23" t="s">
        <v>11</v>
      </c>
      <c r="B3" s="24" t="s">
        <v>12</v>
      </c>
      <c r="C3" s="24" t="s">
        <v>13</v>
      </c>
      <c r="D3" s="25" t="s">
        <v>14</v>
      </c>
      <c r="E3" s="8" t="s">
        <v>15</v>
      </c>
      <c r="F3" s="55" t="s">
        <v>16</v>
      </c>
      <c r="G3" s="55" t="s">
        <v>17</v>
      </c>
      <c r="H3" s="55" t="s">
        <v>18</v>
      </c>
      <c r="I3" s="55" t="s">
        <v>19</v>
      </c>
      <c r="J3" s="55" t="s">
        <v>20</v>
      </c>
    </row>
    <row r="4" ht="14.25" spans="1:10">
      <c r="A4" s="23" t="s">
        <v>21</v>
      </c>
      <c r="B4" s="23" t="s">
        <v>22</v>
      </c>
      <c r="C4" s="23" t="s">
        <v>22</v>
      </c>
      <c r="D4" s="23" t="s">
        <v>22</v>
      </c>
      <c r="E4" s="23" t="s">
        <v>22</v>
      </c>
      <c r="F4" s="23" t="s">
        <v>22</v>
      </c>
      <c r="G4" s="23" t="s">
        <v>22</v>
      </c>
      <c r="H4" s="23" t="s">
        <v>22</v>
      </c>
      <c r="I4" s="23" t="s">
        <v>23</v>
      </c>
      <c r="J4" s="23" t="s">
        <v>24</v>
      </c>
    </row>
    <row r="5" s="53" customFormat="1" ht="14.25" spans="1:10">
      <c r="A5" s="28">
        <v>1</v>
      </c>
      <c r="B5" s="28">
        <v>1</v>
      </c>
      <c r="C5" s="28">
        <v>1</v>
      </c>
      <c r="D5" s="28" t="s">
        <v>25</v>
      </c>
      <c r="E5" s="28">
        <v>0</v>
      </c>
      <c r="F5" s="28">
        <v>2</v>
      </c>
      <c r="G5" s="30" t="s">
        <v>26</v>
      </c>
      <c r="H5" s="30" t="s">
        <v>26</v>
      </c>
      <c r="I5" s="30" t="s">
        <v>27</v>
      </c>
      <c r="J5" s="30" t="s">
        <v>28</v>
      </c>
    </row>
    <row r="6" s="53" customFormat="1" ht="14.25" spans="1:10">
      <c r="A6" s="28">
        <v>1</v>
      </c>
      <c r="B6" s="28">
        <v>1</v>
      </c>
      <c r="C6" s="28">
        <v>2</v>
      </c>
      <c r="D6" s="28" t="s">
        <v>25</v>
      </c>
      <c r="E6" s="28">
        <v>0</v>
      </c>
      <c r="F6" s="28">
        <v>2</v>
      </c>
      <c r="G6" s="30" t="s">
        <v>26</v>
      </c>
      <c r="H6" s="30" t="s">
        <v>26</v>
      </c>
      <c r="I6" s="30" t="s">
        <v>27</v>
      </c>
      <c r="J6" s="30" t="s">
        <v>29</v>
      </c>
    </row>
    <row r="7" ht="14.25" spans="1:10">
      <c r="A7" s="7">
        <v>1</v>
      </c>
      <c r="B7" s="7">
        <v>1</v>
      </c>
      <c r="C7" s="7">
        <v>3</v>
      </c>
      <c r="D7" s="7" t="s">
        <v>25</v>
      </c>
      <c r="E7" s="7">
        <v>0</v>
      </c>
      <c r="F7" s="7">
        <v>12</v>
      </c>
      <c r="G7" s="7">
        <v>1</v>
      </c>
      <c r="H7" s="7">
        <v>1</v>
      </c>
      <c r="I7" s="30" t="s">
        <v>27</v>
      </c>
      <c r="J7" s="7" t="s">
        <v>30</v>
      </c>
    </row>
    <row r="8" ht="14.25" spans="1:10">
      <c r="A8" s="7">
        <v>1</v>
      </c>
      <c r="B8" s="7">
        <v>1</v>
      </c>
      <c r="C8" s="7">
        <v>1000</v>
      </c>
      <c r="E8" s="7">
        <v>0</v>
      </c>
      <c r="F8" s="7">
        <v>4</v>
      </c>
      <c r="G8" s="7">
        <v>1</v>
      </c>
      <c r="H8" s="7">
        <v>10</v>
      </c>
      <c r="I8" s="30"/>
      <c r="J8" s="7">
        <v>10001</v>
      </c>
    </row>
    <row r="9" spans="1:10">
      <c r="A9" s="7">
        <v>1</v>
      </c>
      <c r="B9" s="7">
        <v>3</v>
      </c>
      <c r="C9" s="7">
        <v>101</v>
      </c>
      <c r="D9" s="7" t="s">
        <v>31</v>
      </c>
      <c r="E9" s="7">
        <v>0</v>
      </c>
      <c r="F9" s="7">
        <v>8</v>
      </c>
      <c r="G9" s="7">
        <v>1</v>
      </c>
      <c r="H9" s="7">
        <v>15</v>
      </c>
      <c r="J9" s="7" t="s">
        <v>32</v>
      </c>
    </row>
    <row r="10" spans="1:10">
      <c r="A10" s="7">
        <v>1</v>
      </c>
      <c r="B10" s="7">
        <v>3</v>
      </c>
      <c r="C10" s="7">
        <v>102</v>
      </c>
      <c r="D10" s="7" t="s">
        <v>33</v>
      </c>
      <c r="E10" s="7">
        <v>0</v>
      </c>
      <c r="F10" s="7">
        <v>10</v>
      </c>
      <c r="G10" s="7">
        <v>1</v>
      </c>
      <c r="H10" s="7">
        <v>15</v>
      </c>
      <c r="J10" s="7" t="s">
        <v>34</v>
      </c>
    </row>
    <row r="11" spans="1:10">
      <c r="A11" s="7">
        <v>1</v>
      </c>
      <c r="B11" s="7">
        <v>3</v>
      </c>
      <c r="C11" s="7">
        <v>103</v>
      </c>
      <c r="D11" s="7" t="s">
        <v>35</v>
      </c>
      <c r="E11" s="7">
        <v>0</v>
      </c>
      <c r="F11" s="7">
        <v>10</v>
      </c>
      <c r="G11" s="7">
        <v>1</v>
      </c>
      <c r="H11" s="7">
        <v>15</v>
      </c>
      <c r="J11" s="7" t="s">
        <v>36</v>
      </c>
    </row>
    <row r="12" spans="1:10">
      <c r="A12" s="7">
        <v>1</v>
      </c>
      <c r="B12" s="7">
        <v>3</v>
      </c>
      <c r="C12" s="7">
        <v>104</v>
      </c>
      <c r="D12" s="7" t="s">
        <v>37</v>
      </c>
      <c r="E12" s="7">
        <v>0</v>
      </c>
      <c r="F12" s="7">
        <v>11</v>
      </c>
      <c r="G12" s="7">
        <v>1</v>
      </c>
      <c r="H12" s="7">
        <v>15</v>
      </c>
      <c r="J12" s="7" t="s">
        <v>38</v>
      </c>
    </row>
    <row r="13" spans="1:10">
      <c r="A13" s="7">
        <v>1</v>
      </c>
      <c r="B13" s="7">
        <v>3</v>
      </c>
      <c r="C13" s="7">
        <v>105</v>
      </c>
      <c r="D13" s="7" t="s">
        <v>39</v>
      </c>
      <c r="E13" s="7">
        <v>0</v>
      </c>
      <c r="F13" s="7">
        <v>11</v>
      </c>
      <c r="G13" s="7">
        <v>1</v>
      </c>
      <c r="H13" s="7">
        <v>15</v>
      </c>
      <c r="J13" s="7" t="s">
        <v>40</v>
      </c>
    </row>
    <row r="14" spans="1:10">
      <c r="A14" s="7">
        <v>1</v>
      </c>
      <c r="B14" s="7">
        <v>3</v>
      </c>
      <c r="C14" s="7">
        <v>106</v>
      </c>
      <c r="D14" s="7" t="s">
        <v>41</v>
      </c>
      <c r="E14" s="7">
        <v>0</v>
      </c>
      <c r="F14" s="7">
        <v>11</v>
      </c>
      <c r="G14" s="7">
        <v>1</v>
      </c>
      <c r="H14" s="7">
        <v>15</v>
      </c>
      <c r="J14" s="7" t="s">
        <v>42</v>
      </c>
    </row>
    <row r="15" spans="1:8">
      <c r="A15" s="7">
        <v>1</v>
      </c>
      <c r="B15" s="7">
        <v>3</v>
      </c>
      <c r="C15" s="7">
        <v>107</v>
      </c>
      <c r="D15" s="7" t="s">
        <v>43</v>
      </c>
      <c r="E15" s="7">
        <v>0</v>
      </c>
      <c r="F15" s="7">
        <v>12</v>
      </c>
      <c r="G15" s="7">
        <v>1</v>
      </c>
      <c r="H15" s="7">
        <v>15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8"/>
  <sheetViews>
    <sheetView zoomScale="115" zoomScaleNormal="115" workbookViewId="0">
      <selection activeCell="E10" sqref="E10"/>
    </sheetView>
  </sheetViews>
  <sheetFormatPr defaultColWidth="9" defaultRowHeight="14.25" outlineLevelCol="5"/>
  <cols>
    <col min="1" max="1" width="36.7666666666667" style="7" customWidth="1"/>
    <col min="2" max="2" width="20.5" style="7" customWidth="1"/>
    <col min="3" max="3" width="26.725" style="7" customWidth="1"/>
    <col min="4" max="4" width="45.425" style="7" customWidth="1"/>
    <col min="5" max="5" width="18.5833333333333" style="3" customWidth="1"/>
    <col min="6" max="6" width="25.775" style="3" customWidth="1"/>
    <col min="7" max="16384" width="9" style="7"/>
  </cols>
  <sheetData>
    <row r="1" ht="126" customHeight="1" spans="1:6">
      <c r="A1" s="37" t="s">
        <v>44</v>
      </c>
      <c r="B1" s="38" t="s">
        <v>45</v>
      </c>
      <c r="C1" s="19" t="s">
        <v>46</v>
      </c>
      <c r="D1" s="19" t="s">
        <v>47</v>
      </c>
      <c r="E1" s="39" t="s">
        <v>48</v>
      </c>
      <c r="F1" s="39" t="s">
        <v>49</v>
      </c>
    </row>
    <row r="2" spans="1:6">
      <c r="A2" s="23" t="s">
        <v>10</v>
      </c>
      <c r="B2" s="24">
        <v>1</v>
      </c>
      <c r="C2" s="24">
        <v>0</v>
      </c>
      <c r="D2" s="24">
        <v>2</v>
      </c>
      <c r="E2" s="8">
        <v>2</v>
      </c>
      <c r="F2" s="8">
        <v>3</v>
      </c>
    </row>
    <row r="3" spans="1:6">
      <c r="A3" s="23" t="s">
        <v>11</v>
      </c>
      <c r="B3" s="24" t="s">
        <v>50</v>
      </c>
      <c r="C3" s="24" t="s">
        <v>51</v>
      </c>
      <c r="D3" s="24" t="s">
        <v>52</v>
      </c>
      <c r="E3" s="8" t="s">
        <v>53</v>
      </c>
      <c r="F3" s="8" t="s">
        <v>54</v>
      </c>
    </row>
    <row r="4" spans="1:6">
      <c r="A4" s="23" t="s">
        <v>21</v>
      </c>
      <c r="B4" s="6" t="s">
        <v>22</v>
      </c>
      <c r="C4" s="6" t="s">
        <v>55</v>
      </c>
      <c r="D4" s="6" t="s">
        <v>56</v>
      </c>
      <c r="E4" s="6" t="s">
        <v>57</v>
      </c>
      <c r="F4" s="23" t="s">
        <v>24</v>
      </c>
    </row>
    <row r="5" s="29" customFormat="1" spans="1:6">
      <c r="A5" s="29">
        <v>1</v>
      </c>
      <c r="B5" s="29">
        <v>1</v>
      </c>
      <c r="C5" s="29" t="s">
        <v>58</v>
      </c>
      <c r="D5" s="40" t="s">
        <v>59</v>
      </c>
      <c r="E5" s="29" t="s">
        <v>60</v>
      </c>
      <c r="F5" s="29" t="s">
        <v>61</v>
      </c>
    </row>
    <row r="6" s="28" customFormat="1" spans="1:6">
      <c r="A6" s="29">
        <v>1</v>
      </c>
      <c r="B6" s="29">
        <v>2</v>
      </c>
      <c r="C6" s="29" t="s">
        <v>58</v>
      </c>
      <c r="D6" s="40" t="s">
        <v>62</v>
      </c>
      <c r="E6" s="29" t="s">
        <v>60</v>
      </c>
      <c r="F6" s="29" t="s">
        <v>61</v>
      </c>
    </row>
    <row r="7" s="28" customFormat="1" spans="1:6">
      <c r="A7" s="29">
        <v>1</v>
      </c>
      <c r="B7" s="29">
        <v>3</v>
      </c>
      <c r="C7" s="29" t="s">
        <v>58</v>
      </c>
      <c r="D7" s="40" t="s">
        <v>63</v>
      </c>
      <c r="E7" s="29" t="s">
        <v>60</v>
      </c>
      <c r="F7" s="29" t="s">
        <v>61</v>
      </c>
    </row>
    <row r="8" s="3" customFormat="1" spans="1:6">
      <c r="A8" s="29">
        <v>1</v>
      </c>
      <c r="B8" s="29">
        <v>4</v>
      </c>
      <c r="C8" s="29" t="s">
        <v>58</v>
      </c>
      <c r="D8" s="40" t="s">
        <v>64</v>
      </c>
      <c r="E8" s="29" t="s">
        <v>65</v>
      </c>
      <c r="F8" s="29" t="s">
        <v>61</v>
      </c>
    </row>
    <row r="9" s="3" customFormat="1" spans="1:6">
      <c r="A9" s="3">
        <v>1</v>
      </c>
      <c r="B9" s="3">
        <v>5</v>
      </c>
      <c r="C9" s="29" t="s">
        <v>58</v>
      </c>
      <c r="D9" s="3" t="s">
        <v>66</v>
      </c>
      <c r="E9" s="29" t="s">
        <v>60</v>
      </c>
      <c r="F9" s="3" t="s">
        <v>67</v>
      </c>
    </row>
    <row r="10" s="3" customFormat="1" spans="1:6">
      <c r="A10" s="3">
        <v>1</v>
      </c>
      <c r="B10" s="3">
        <v>6</v>
      </c>
      <c r="C10" s="29" t="s">
        <v>58</v>
      </c>
      <c r="D10" s="3" t="s">
        <v>68</v>
      </c>
      <c r="E10" s="29" t="s">
        <v>60</v>
      </c>
      <c r="F10" s="3" t="s">
        <v>69</v>
      </c>
    </row>
    <row r="11" s="3" customFormat="1"/>
    <row r="12" s="3" customFormat="1" ht="15" spans="1:6">
      <c r="A12" s="29">
        <v>1</v>
      </c>
      <c r="B12" s="29">
        <v>10001</v>
      </c>
      <c r="C12" s="29" t="s">
        <v>58</v>
      </c>
      <c r="D12" s="40" t="s">
        <v>70</v>
      </c>
      <c r="E12" s="29" t="s">
        <v>71</v>
      </c>
      <c r="F12" s="29" t="s">
        <v>72</v>
      </c>
    </row>
    <row r="13" s="3" customFormat="1" ht="15" spans="1:6">
      <c r="A13" s="31">
        <v>0</v>
      </c>
      <c r="B13" s="36" t="s">
        <v>73</v>
      </c>
      <c r="D13" s="40"/>
      <c r="E13" s="29"/>
      <c r="F13" s="29"/>
    </row>
    <row r="14" s="3" customFormat="1" spans="1:6">
      <c r="A14" s="29">
        <v>1</v>
      </c>
      <c r="B14" s="29">
        <v>10101</v>
      </c>
      <c r="C14" s="29" t="s">
        <v>74</v>
      </c>
      <c r="D14" s="40" t="s">
        <v>75</v>
      </c>
      <c r="E14" s="29" t="s">
        <v>76</v>
      </c>
      <c r="F14" s="29" t="s">
        <v>77</v>
      </c>
    </row>
    <row r="15" s="3" customFormat="1" spans="1:6">
      <c r="A15" s="29">
        <v>1</v>
      </c>
      <c r="B15" s="3">
        <v>10102</v>
      </c>
      <c r="C15" s="29" t="s">
        <v>78</v>
      </c>
      <c r="D15" s="40" t="s">
        <v>79</v>
      </c>
      <c r="E15" s="29" t="s">
        <v>80</v>
      </c>
      <c r="F15" s="29" t="s">
        <v>77</v>
      </c>
    </row>
    <row r="17" ht="15" spans="1:6">
      <c r="A17" s="31">
        <v>0</v>
      </c>
      <c r="B17" s="36" t="s">
        <v>81</v>
      </c>
      <c r="D17" s="3"/>
      <c r="F17" s="7"/>
    </row>
    <row r="18" spans="1:6">
      <c r="A18" s="41">
        <v>1</v>
      </c>
      <c r="B18" s="42">
        <v>10201</v>
      </c>
      <c r="C18" s="42" t="s">
        <v>82</v>
      </c>
      <c r="D18" s="42" t="s">
        <v>83</v>
      </c>
      <c r="E18" s="43" t="s">
        <v>84</v>
      </c>
      <c r="F18" s="44" t="s">
        <v>85</v>
      </c>
    </row>
    <row r="19" spans="1:6">
      <c r="A19" s="45">
        <v>1</v>
      </c>
      <c r="B19" s="46">
        <v>10202</v>
      </c>
      <c r="C19" s="46" t="s">
        <v>86</v>
      </c>
      <c r="D19" s="46" t="s">
        <v>87</v>
      </c>
      <c r="E19" s="47" t="s">
        <v>88</v>
      </c>
      <c r="F19" s="48" t="s">
        <v>89</v>
      </c>
    </row>
    <row r="20" ht="15" spans="1:6">
      <c r="A20" s="49">
        <v>1</v>
      </c>
      <c r="B20" s="50">
        <v>10203</v>
      </c>
      <c r="C20" s="50" t="s">
        <v>74</v>
      </c>
      <c r="D20" s="50" t="s">
        <v>90</v>
      </c>
      <c r="E20" s="51" t="s">
        <v>84</v>
      </c>
      <c r="F20" s="52" t="s">
        <v>91</v>
      </c>
    </row>
    <row r="21" ht="15" spans="1:6">
      <c r="A21" s="49">
        <v>1</v>
      </c>
      <c r="B21" s="50">
        <v>10204</v>
      </c>
      <c r="C21" s="50" t="s">
        <v>92</v>
      </c>
      <c r="D21" s="50" t="s">
        <v>93</v>
      </c>
      <c r="E21" s="51" t="s">
        <v>88</v>
      </c>
      <c r="F21" s="52" t="s">
        <v>91</v>
      </c>
    </row>
    <row r="23" spans="1:2">
      <c r="A23" s="31">
        <v>0</v>
      </c>
      <c r="B23" s="36" t="s">
        <v>94</v>
      </c>
    </row>
    <row r="24" spans="1:6">
      <c r="A24" s="29">
        <v>1</v>
      </c>
      <c r="B24" s="29">
        <v>10301</v>
      </c>
      <c r="C24" s="29" t="s">
        <v>95</v>
      </c>
      <c r="D24" s="40" t="s">
        <v>96</v>
      </c>
      <c r="E24" s="29" t="s">
        <v>97</v>
      </c>
      <c r="F24" s="29" t="s">
        <v>85</v>
      </c>
    </row>
    <row r="25" spans="1:6">
      <c r="A25" s="29">
        <v>1</v>
      </c>
      <c r="B25" s="3">
        <v>10302</v>
      </c>
      <c r="C25" s="29" t="s">
        <v>98</v>
      </c>
      <c r="D25" s="40" t="s">
        <v>99</v>
      </c>
      <c r="E25" s="29" t="s">
        <v>100</v>
      </c>
      <c r="F25" s="29" t="s">
        <v>85</v>
      </c>
    </row>
    <row r="27" spans="1:2">
      <c r="A27" s="31">
        <v>0</v>
      </c>
      <c r="B27" s="36" t="s">
        <v>101</v>
      </c>
    </row>
    <row r="28" spans="1:6">
      <c r="A28" s="29">
        <v>1</v>
      </c>
      <c r="B28" s="7">
        <v>10401</v>
      </c>
      <c r="C28" s="29" t="s">
        <v>95</v>
      </c>
      <c r="D28" s="7" t="s">
        <v>102</v>
      </c>
      <c r="E28" s="3" t="s">
        <v>103</v>
      </c>
      <c r="F28" s="29" t="s">
        <v>104</v>
      </c>
    </row>
    <row r="29" spans="1:6">
      <c r="A29" s="29">
        <v>1</v>
      </c>
      <c r="B29" s="7">
        <v>10402</v>
      </c>
      <c r="C29" s="29" t="s">
        <v>105</v>
      </c>
      <c r="D29" s="7" t="s">
        <v>106</v>
      </c>
      <c r="E29" s="3" t="s">
        <v>103</v>
      </c>
      <c r="F29" s="29" t="s">
        <v>107</v>
      </c>
    </row>
    <row r="30" ht="15" spans="1:6">
      <c r="A30" s="29">
        <v>1</v>
      </c>
      <c r="B30" s="7">
        <v>10403</v>
      </c>
      <c r="C30" s="29" t="s">
        <v>98</v>
      </c>
      <c r="D30" s="7" t="s">
        <v>108</v>
      </c>
      <c r="E30" s="3" t="s">
        <v>109</v>
      </c>
      <c r="F30" s="29" t="s">
        <v>104</v>
      </c>
    </row>
    <row r="31" ht="15" spans="1:6">
      <c r="A31" s="31">
        <v>0</v>
      </c>
      <c r="B31" s="36" t="s">
        <v>110</v>
      </c>
      <c r="C31" s="29"/>
      <c r="F31" s="29"/>
    </row>
    <row r="32" spans="1:6">
      <c r="A32" s="29">
        <v>1</v>
      </c>
      <c r="B32" s="7">
        <v>10501</v>
      </c>
      <c r="C32" s="29" t="s">
        <v>74</v>
      </c>
      <c r="D32" s="7" t="s">
        <v>111</v>
      </c>
      <c r="E32" s="3" t="s">
        <v>112</v>
      </c>
      <c r="F32" s="3" t="s">
        <v>113</v>
      </c>
    </row>
    <row r="33" spans="1:6">
      <c r="A33" s="29">
        <v>1</v>
      </c>
      <c r="B33" s="7">
        <v>10502</v>
      </c>
      <c r="C33" s="29" t="s">
        <v>105</v>
      </c>
      <c r="D33" s="7" t="s">
        <v>114</v>
      </c>
      <c r="E33" s="3" t="s">
        <v>112</v>
      </c>
      <c r="F33" s="29" t="s">
        <v>104</v>
      </c>
    </row>
    <row r="34" ht="15" spans="1:6">
      <c r="A34" s="29">
        <v>1</v>
      </c>
      <c r="B34" s="7">
        <v>10503</v>
      </c>
      <c r="C34" s="29" t="s">
        <v>78</v>
      </c>
      <c r="D34" s="7" t="s">
        <v>115</v>
      </c>
      <c r="E34" s="3" t="s">
        <v>112</v>
      </c>
      <c r="F34" s="3" t="s">
        <v>116</v>
      </c>
    </row>
    <row r="35" spans="1:2">
      <c r="A35" s="31">
        <v>0</v>
      </c>
      <c r="B35" s="36" t="s">
        <v>117</v>
      </c>
    </row>
    <row r="36" spans="1:6">
      <c r="A36" s="29">
        <v>1</v>
      </c>
      <c r="B36" s="7">
        <v>10601</v>
      </c>
      <c r="C36" s="29" t="s">
        <v>74</v>
      </c>
      <c r="D36" s="7" t="s">
        <v>118</v>
      </c>
      <c r="E36" s="3" t="s">
        <v>119</v>
      </c>
      <c r="F36" s="29" t="s">
        <v>107</v>
      </c>
    </row>
    <row r="37" spans="1:6">
      <c r="A37" s="29">
        <v>1</v>
      </c>
      <c r="B37" s="7">
        <v>10602</v>
      </c>
      <c r="C37" s="29" t="s">
        <v>78</v>
      </c>
      <c r="D37" s="7" t="s">
        <v>120</v>
      </c>
      <c r="E37" s="3" t="s">
        <v>119</v>
      </c>
      <c r="F37" s="29" t="s">
        <v>104</v>
      </c>
    </row>
    <row r="38" spans="1:6">
      <c r="A38" s="29">
        <v>1</v>
      </c>
      <c r="B38" s="7">
        <v>10603</v>
      </c>
      <c r="C38" s="29" t="s">
        <v>121</v>
      </c>
      <c r="D38" s="7" t="s">
        <v>122</v>
      </c>
      <c r="E38" s="3" t="s">
        <v>123</v>
      </c>
      <c r="F38" s="29" t="s">
        <v>104</v>
      </c>
    </row>
  </sheetData>
  <dataValidations count="1">
    <dataValidation type="list" allowBlank="1" showInputMessage="1" showErrorMessage="1" sqref="B4:E4">
      <formula1>数据类型!$B$2:$B$56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4"/>
  <sheetViews>
    <sheetView tabSelected="1" zoomScale="130" zoomScaleNormal="130" workbookViewId="0">
      <pane ySplit="1" topLeftCell="A26" activePane="bottomLeft" state="frozen"/>
      <selection/>
      <selection pane="bottomLeft" activeCell="F50" sqref="F50"/>
    </sheetView>
  </sheetViews>
  <sheetFormatPr defaultColWidth="9" defaultRowHeight="13.5" outlineLevelCol="7"/>
  <cols>
    <col min="1" max="1" width="43.375" customWidth="1"/>
    <col min="2" max="2" width="20.5" customWidth="1"/>
    <col min="3" max="3" width="28.125" customWidth="1"/>
    <col min="4" max="5" width="14.4583333333333" customWidth="1"/>
    <col min="6" max="6" width="30.5833333333333" style="16" customWidth="1"/>
    <col min="7" max="7" width="21.625" customWidth="1"/>
  </cols>
  <sheetData>
    <row r="1" ht="137" customHeight="1" spans="1:6">
      <c r="A1" s="17" t="s">
        <v>124</v>
      </c>
      <c r="B1" s="18" t="s">
        <v>125</v>
      </c>
      <c r="C1" s="19" t="s">
        <v>126</v>
      </c>
      <c r="D1" s="20" t="s">
        <v>127</v>
      </c>
      <c r="E1" s="21" t="s">
        <v>128</v>
      </c>
      <c r="F1" s="22" t="s">
        <v>129</v>
      </c>
    </row>
    <row r="2" ht="14.25" spans="1:8">
      <c r="A2" s="23" t="s">
        <v>10</v>
      </c>
      <c r="B2" s="24">
        <v>1</v>
      </c>
      <c r="C2" s="24">
        <v>1</v>
      </c>
      <c r="D2" s="24">
        <v>2</v>
      </c>
      <c r="E2" s="25"/>
      <c r="F2" s="26">
        <v>3</v>
      </c>
      <c r="H2">
        <v>0</v>
      </c>
    </row>
    <row r="3" ht="14.25" spans="1:6">
      <c r="A3" s="23" t="s">
        <v>11</v>
      </c>
      <c r="B3" s="24" t="s">
        <v>50</v>
      </c>
      <c r="C3" s="24" t="s">
        <v>130</v>
      </c>
      <c r="D3" s="24" t="s">
        <v>131</v>
      </c>
      <c r="E3" s="25"/>
      <c r="F3" s="26" t="s">
        <v>132</v>
      </c>
    </row>
    <row r="4" ht="14.25" spans="1:6">
      <c r="A4" s="23" t="s">
        <v>21</v>
      </c>
      <c r="B4" s="6" t="s">
        <v>22</v>
      </c>
      <c r="C4" s="6" t="s">
        <v>22</v>
      </c>
      <c r="D4" s="6" t="s">
        <v>55</v>
      </c>
      <c r="E4" s="6"/>
      <c r="F4" s="27" t="s">
        <v>23</v>
      </c>
    </row>
    <row r="5" s="15" customFormat="1" ht="14.25" spans="1:6">
      <c r="A5" s="28">
        <v>1</v>
      </c>
      <c r="B5" s="29">
        <v>1</v>
      </c>
      <c r="C5" s="28">
        <v>1</v>
      </c>
      <c r="D5" s="28" t="s">
        <v>133</v>
      </c>
      <c r="E5" s="28"/>
      <c r="F5" s="30" t="s">
        <v>134</v>
      </c>
    </row>
    <row r="6" s="15" customFormat="1" ht="14.25" spans="1:6">
      <c r="A6" s="28">
        <v>1</v>
      </c>
      <c r="B6" s="28">
        <v>1</v>
      </c>
      <c r="C6" s="28">
        <v>2</v>
      </c>
      <c r="D6" s="28" t="s">
        <v>135</v>
      </c>
      <c r="E6" s="28"/>
      <c r="F6" s="30" t="s">
        <v>136</v>
      </c>
    </row>
    <row r="7" spans="6:6">
      <c r="F7"/>
    </row>
    <row r="8" ht="14.25" spans="1:6">
      <c r="A8" s="28">
        <v>1</v>
      </c>
      <c r="B8" s="29">
        <v>2</v>
      </c>
      <c r="C8" s="28">
        <v>1</v>
      </c>
      <c r="D8" s="28" t="s">
        <v>133</v>
      </c>
      <c r="E8" s="28"/>
      <c r="F8" s="30"/>
    </row>
    <row r="9" ht="14.25" spans="1:6">
      <c r="A9" s="28">
        <v>1</v>
      </c>
      <c r="B9" s="28">
        <v>2</v>
      </c>
      <c r="C9" s="28">
        <v>2</v>
      </c>
      <c r="D9" s="28" t="s">
        <v>135</v>
      </c>
      <c r="E9" s="28"/>
      <c r="F9" s="30"/>
    </row>
    <row r="11" ht="14.25" spans="1:6">
      <c r="A11" s="28">
        <v>1</v>
      </c>
      <c r="B11" s="29">
        <v>3</v>
      </c>
      <c r="C11" s="28">
        <v>1</v>
      </c>
      <c r="D11" s="28" t="s">
        <v>133</v>
      </c>
      <c r="E11" s="28"/>
      <c r="F11" s="30"/>
    </row>
    <row r="12" ht="14.25" spans="1:6">
      <c r="A12" s="28">
        <v>1</v>
      </c>
      <c r="B12" s="28">
        <v>3</v>
      </c>
      <c r="C12" s="28">
        <v>2</v>
      </c>
      <c r="D12" s="28" t="s">
        <v>135</v>
      </c>
      <c r="E12" s="28"/>
      <c r="F12" s="30"/>
    </row>
    <row r="13" ht="14.25" spans="1:6">
      <c r="A13" s="28">
        <v>1</v>
      </c>
      <c r="B13" s="29">
        <v>4</v>
      </c>
      <c r="C13" s="28">
        <v>1</v>
      </c>
      <c r="D13" s="28" t="s">
        <v>133</v>
      </c>
      <c r="E13" s="28"/>
      <c r="F13" s="30" t="s">
        <v>137</v>
      </c>
    </row>
    <row r="14" ht="14.25" spans="1:6">
      <c r="A14" s="28">
        <v>1</v>
      </c>
      <c r="B14" s="29">
        <v>4</v>
      </c>
      <c r="C14" s="28">
        <v>2</v>
      </c>
      <c r="D14" s="28" t="s">
        <v>135</v>
      </c>
      <c r="E14" s="28"/>
      <c r="F14" s="30" t="s">
        <v>138</v>
      </c>
    </row>
    <row r="17" ht="14.25" spans="1:6">
      <c r="A17">
        <v>1</v>
      </c>
      <c r="B17">
        <v>5</v>
      </c>
      <c r="C17">
        <v>1</v>
      </c>
      <c r="D17" s="28" t="s">
        <v>139</v>
      </c>
      <c r="E17" s="28"/>
      <c r="F17" s="30" t="s">
        <v>134</v>
      </c>
    </row>
    <row r="18" ht="14.25" spans="1:6">
      <c r="A18">
        <v>1</v>
      </c>
      <c r="B18">
        <v>5</v>
      </c>
      <c r="C18">
        <v>2</v>
      </c>
      <c r="D18" s="28" t="s">
        <v>140</v>
      </c>
      <c r="E18" s="28"/>
      <c r="F18" s="30" t="s">
        <v>136</v>
      </c>
    </row>
    <row r="19" ht="14.25" spans="1:6">
      <c r="A19">
        <v>1</v>
      </c>
      <c r="B19">
        <v>5</v>
      </c>
      <c r="C19">
        <v>3</v>
      </c>
      <c r="D19" s="28" t="s">
        <v>141</v>
      </c>
      <c r="E19" s="28"/>
      <c r="F19" s="30" t="s">
        <v>134</v>
      </c>
    </row>
    <row r="20" ht="14.25" spans="1:6">
      <c r="A20">
        <v>1</v>
      </c>
      <c r="B20">
        <v>5</v>
      </c>
      <c r="C20">
        <v>4</v>
      </c>
      <c r="D20" s="28" t="s">
        <v>142</v>
      </c>
      <c r="E20" s="28"/>
      <c r="F20" s="30" t="s">
        <v>136</v>
      </c>
    </row>
    <row r="21" ht="14.25" spans="1:6">
      <c r="A21">
        <v>1</v>
      </c>
      <c r="B21">
        <v>5</v>
      </c>
      <c r="C21">
        <v>5</v>
      </c>
      <c r="D21" s="28" t="s">
        <v>143</v>
      </c>
      <c r="E21" s="28"/>
      <c r="F21" s="30" t="s">
        <v>134</v>
      </c>
    </row>
    <row r="22" ht="14.25" spans="1:6">
      <c r="A22">
        <v>1</v>
      </c>
      <c r="B22">
        <v>5</v>
      </c>
      <c r="C22">
        <v>6</v>
      </c>
      <c r="D22" s="28" t="s">
        <v>144</v>
      </c>
      <c r="E22" s="28"/>
      <c r="F22" s="30" t="s">
        <v>136</v>
      </c>
    </row>
    <row r="23" ht="14.25" spans="1:6">
      <c r="A23">
        <v>1</v>
      </c>
      <c r="B23">
        <v>5</v>
      </c>
      <c r="C23">
        <v>7</v>
      </c>
      <c r="D23" s="28" t="s">
        <v>145</v>
      </c>
      <c r="E23" s="28"/>
      <c r="F23" s="30" t="s">
        <v>134</v>
      </c>
    </row>
    <row r="24" ht="14.25" spans="1:6">
      <c r="A24">
        <v>1</v>
      </c>
      <c r="B24">
        <v>5</v>
      </c>
      <c r="C24">
        <v>8</v>
      </c>
      <c r="D24" s="28" t="s">
        <v>146</v>
      </c>
      <c r="E24" s="28"/>
      <c r="F24" s="30" t="s">
        <v>136</v>
      </c>
    </row>
    <row r="25" ht="14.25" spans="1:6">
      <c r="A25">
        <v>1</v>
      </c>
      <c r="B25">
        <v>5</v>
      </c>
      <c r="C25">
        <v>9</v>
      </c>
      <c r="D25" s="28" t="s">
        <v>147</v>
      </c>
      <c r="E25" s="28"/>
      <c r="F25" s="30" t="s">
        <v>134</v>
      </c>
    </row>
    <row r="26" ht="14.25" spans="1:6">
      <c r="A26">
        <v>1</v>
      </c>
      <c r="B26">
        <v>5</v>
      </c>
      <c r="C26">
        <v>10</v>
      </c>
      <c r="D26" s="28" t="s">
        <v>148</v>
      </c>
      <c r="E26" s="28"/>
      <c r="F26" s="30" t="s">
        <v>136</v>
      </c>
    </row>
    <row r="27" ht="14.25" spans="1:6">
      <c r="A27">
        <v>1</v>
      </c>
      <c r="B27">
        <v>5</v>
      </c>
      <c r="C27">
        <v>11</v>
      </c>
      <c r="D27" s="28" t="s">
        <v>149</v>
      </c>
      <c r="E27" s="28"/>
      <c r="F27" s="30" t="s">
        <v>134</v>
      </c>
    </row>
    <row r="28" ht="14.25" spans="1:6">
      <c r="A28">
        <v>1</v>
      </c>
      <c r="B28">
        <v>5</v>
      </c>
      <c r="C28">
        <v>12</v>
      </c>
      <c r="D28" s="28" t="s">
        <v>150</v>
      </c>
      <c r="E28" s="28"/>
      <c r="F28" s="30" t="s">
        <v>136</v>
      </c>
    </row>
    <row r="29" ht="14.25" spans="1:6">
      <c r="A29">
        <v>1</v>
      </c>
      <c r="B29">
        <v>6</v>
      </c>
      <c r="C29">
        <v>7</v>
      </c>
      <c r="D29" s="28" t="s">
        <v>145</v>
      </c>
      <c r="E29" s="28"/>
      <c r="F29" s="30" t="s">
        <v>134</v>
      </c>
    </row>
    <row r="30" ht="14.25" spans="1:6">
      <c r="A30">
        <v>1</v>
      </c>
      <c r="B30">
        <v>6</v>
      </c>
      <c r="C30">
        <v>8</v>
      </c>
      <c r="D30" s="28" t="s">
        <v>146</v>
      </c>
      <c r="E30" s="28"/>
      <c r="F30" s="30" t="s">
        <v>136</v>
      </c>
    </row>
    <row r="31" ht="14.25" spans="1:6">
      <c r="A31">
        <v>1</v>
      </c>
      <c r="B31">
        <v>6</v>
      </c>
      <c r="C31">
        <v>9</v>
      </c>
      <c r="D31" s="28" t="s">
        <v>147</v>
      </c>
      <c r="E31" s="28"/>
      <c r="F31" s="30" t="s">
        <v>134</v>
      </c>
    </row>
    <row r="32" ht="14.25" spans="1:6">
      <c r="A32">
        <v>1</v>
      </c>
      <c r="B32">
        <v>6</v>
      </c>
      <c r="C32">
        <v>10</v>
      </c>
      <c r="D32" s="28" t="s">
        <v>148</v>
      </c>
      <c r="E32" s="28"/>
      <c r="F32" s="30" t="s">
        <v>136</v>
      </c>
    </row>
    <row r="33" ht="14.25" spans="1:6">
      <c r="A33">
        <v>1</v>
      </c>
      <c r="B33">
        <v>6</v>
      </c>
      <c r="C33">
        <v>11</v>
      </c>
      <c r="D33" s="28" t="s">
        <v>149</v>
      </c>
      <c r="E33" s="28"/>
      <c r="F33" s="30" t="s">
        <v>134</v>
      </c>
    </row>
    <row r="34" ht="14.25" spans="1:6">
      <c r="A34">
        <v>1</v>
      </c>
      <c r="B34">
        <v>6</v>
      </c>
      <c r="C34">
        <v>12</v>
      </c>
      <c r="D34" s="28" t="s">
        <v>150</v>
      </c>
      <c r="E34" s="28"/>
      <c r="F34" s="30" t="s">
        <v>136</v>
      </c>
    </row>
    <row r="37" ht="14.25" spans="1:6">
      <c r="A37">
        <v>1</v>
      </c>
      <c r="B37">
        <v>10001</v>
      </c>
      <c r="C37">
        <v>1</v>
      </c>
      <c r="D37" s="28" t="s">
        <v>139</v>
      </c>
      <c r="E37" s="28"/>
      <c r="F37" s="30" t="s">
        <v>151</v>
      </c>
    </row>
    <row r="38" ht="14.25" spans="1:6">
      <c r="A38">
        <v>1</v>
      </c>
      <c r="B38">
        <v>10001</v>
      </c>
      <c r="C38">
        <v>2</v>
      </c>
      <c r="D38" s="28" t="s">
        <v>140</v>
      </c>
      <c r="E38" s="28"/>
      <c r="F38" s="30" t="s">
        <v>152</v>
      </c>
    </row>
    <row r="39" ht="14.25" spans="1:6">
      <c r="A39">
        <v>1</v>
      </c>
      <c r="B39">
        <v>10001</v>
      </c>
      <c r="C39">
        <v>3</v>
      </c>
      <c r="D39" s="28" t="s">
        <v>141</v>
      </c>
      <c r="E39" s="28"/>
      <c r="F39" s="30" t="s">
        <v>153</v>
      </c>
    </row>
    <row r="40" ht="15" spans="1:6">
      <c r="A40">
        <v>1</v>
      </c>
      <c r="B40">
        <v>10001</v>
      </c>
      <c r="C40">
        <v>4</v>
      </c>
      <c r="D40" s="28" t="s">
        <v>142</v>
      </c>
      <c r="E40" s="28"/>
      <c r="F40" s="30" t="s">
        <v>154</v>
      </c>
    </row>
    <row r="41" ht="15" spans="1:3">
      <c r="A41" s="31">
        <v>0</v>
      </c>
      <c r="B41" s="32" t="s">
        <v>73</v>
      </c>
      <c r="C41" s="29" t="s">
        <v>74</v>
      </c>
    </row>
    <row r="42" customFormat="1" ht="15" spans="1:8">
      <c r="A42">
        <v>1</v>
      </c>
      <c r="B42" s="33">
        <v>10101</v>
      </c>
      <c r="C42">
        <v>1</v>
      </c>
      <c r="D42" s="28" t="s">
        <v>139</v>
      </c>
      <c r="E42" s="28"/>
      <c r="F42" s="30" t="s">
        <v>155</v>
      </c>
      <c r="H42" s="30" t="s">
        <v>156</v>
      </c>
    </row>
    <row r="43" ht="15" spans="1:8">
      <c r="A43">
        <v>1</v>
      </c>
      <c r="B43" s="33">
        <v>10101</v>
      </c>
      <c r="C43">
        <v>2</v>
      </c>
      <c r="D43" s="28" t="s">
        <v>140</v>
      </c>
      <c r="E43" s="28"/>
      <c r="F43" s="30" t="s">
        <v>157</v>
      </c>
      <c r="H43" s="30" t="s">
        <v>157</v>
      </c>
    </row>
    <row r="44" ht="15" spans="1:8">
      <c r="A44">
        <v>1</v>
      </c>
      <c r="B44" s="33">
        <v>10101</v>
      </c>
      <c r="C44">
        <v>3</v>
      </c>
      <c r="D44" s="28" t="s">
        <v>141</v>
      </c>
      <c r="E44" s="28"/>
      <c r="F44" s="30" t="s">
        <v>158</v>
      </c>
      <c r="H44" s="30" t="s">
        <v>158</v>
      </c>
    </row>
    <row r="45" ht="15" spans="1:8">
      <c r="A45">
        <v>1</v>
      </c>
      <c r="B45" s="33">
        <v>10101</v>
      </c>
      <c r="C45">
        <v>4</v>
      </c>
      <c r="D45" s="28" t="s">
        <v>142</v>
      </c>
      <c r="E45" s="28"/>
      <c r="F45" s="30" t="s">
        <v>159</v>
      </c>
      <c r="H45" s="30" t="s">
        <v>159</v>
      </c>
    </row>
    <row r="46" ht="15" spans="1:8">
      <c r="A46">
        <v>1</v>
      </c>
      <c r="B46" s="33">
        <v>10101</v>
      </c>
      <c r="C46">
        <v>5</v>
      </c>
      <c r="D46" s="28" t="s">
        <v>143</v>
      </c>
      <c r="E46" s="28"/>
      <c r="F46" s="30" t="s">
        <v>160</v>
      </c>
      <c r="H46" s="30" t="s">
        <v>160</v>
      </c>
    </row>
    <row r="47" ht="15" spans="1:8">
      <c r="A47">
        <v>1</v>
      </c>
      <c r="B47" s="33">
        <v>10101</v>
      </c>
      <c r="C47">
        <v>6</v>
      </c>
      <c r="D47" s="28" t="s">
        <v>144</v>
      </c>
      <c r="E47" s="28"/>
      <c r="F47" s="30" t="s">
        <v>161</v>
      </c>
      <c r="H47" s="30" t="s">
        <v>161</v>
      </c>
    </row>
    <row r="48" ht="15" spans="1:8">
      <c r="A48">
        <v>1</v>
      </c>
      <c r="B48" s="33">
        <v>10101</v>
      </c>
      <c r="C48">
        <v>7</v>
      </c>
      <c r="D48" s="28" t="s">
        <v>145</v>
      </c>
      <c r="E48" s="28"/>
      <c r="F48" s="30" t="s">
        <v>162</v>
      </c>
      <c r="H48" s="30" t="s">
        <v>162</v>
      </c>
    </row>
    <row r="49" ht="15" spans="1:8">
      <c r="A49">
        <v>1</v>
      </c>
      <c r="B49" s="33">
        <v>10101</v>
      </c>
      <c r="C49">
        <v>8</v>
      </c>
      <c r="D49" s="28" t="s">
        <v>146</v>
      </c>
      <c r="E49" s="28"/>
      <c r="F49" s="30" t="s">
        <v>163</v>
      </c>
      <c r="H49" s="30" t="s">
        <v>163</v>
      </c>
    </row>
    <row r="50" ht="15" spans="1:8">
      <c r="A50" s="31">
        <v>0</v>
      </c>
      <c r="B50" s="32" t="s">
        <v>73</v>
      </c>
      <c r="C50" s="29" t="s">
        <v>78</v>
      </c>
      <c r="H50" s="16"/>
    </row>
    <row r="51" ht="15" spans="1:8">
      <c r="A51">
        <v>1</v>
      </c>
      <c r="B51" s="33">
        <v>10102</v>
      </c>
      <c r="C51">
        <v>1</v>
      </c>
      <c r="D51" s="28" t="s">
        <v>139</v>
      </c>
      <c r="E51" s="28"/>
      <c r="F51" s="30" t="s">
        <v>164</v>
      </c>
      <c r="H51" s="30" t="s">
        <v>164</v>
      </c>
    </row>
    <row r="52" ht="15" spans="1:8">
      <c r="A52">
        <v>1</v>
      </c>
      <c r="B52" s="33">
        <v>10102</v>
      </c>
      <c r="C52">
        <v>2</v>
      </c>
      <c r="D52" s="28" t="s">
        <v>140</v>
      </c>
      <c r="E52" s="28"/>
      <c r="F52" s="30" t="s">
        <v>157</v>
      </c>
      <c r="H52" s="30" t="s">
        <v>157</v>
      </c>
    </row>
    <row r="53" ht="15" spans="1:8">
      <c r="A53">
        <v>1</v>
      </c>
      <c r="B53" s="33">
        <v>10102</v>
      </c>
      <c r="C53">
        <v>3</v>
      </c>
      <c r="D53" s="28" t="s">
        <v>141</v>
      </c>
      <c r="E53" s="28"/>
      <c r="F53" s="30" t="s">
        <v>158</v>
      </c>
      <c r="H53" s="30" t="s">
        <v>158</v>
      </c>
    </row>
    <row r="54" ht="15" spans="1:8">
      <c r="A54">
        <v>1</v>
      </c>
      <c r="B54" s="33">
        <v>10102</v>
      </c>
      <c r="C54">
        <v>4</v>
      </c>
      <c r="D54" s="28" t="s">
        <v>142</v>
      </c>
      <c r="E54" s="28"/>
      <c r="F54" s="30" t="s">
        <v>159</v>
      </c>
      <c r="H54" s="30" t="s">
        <v>159</v>
      </c>
    </row>
    <row r="55" ht="15" spans="1:8">
      <c r="A55">
        <v>1</v>
      </c>
      <c r="B55" s="33">
        <v>10102</v>
      </c>
      <c r="C55">
        <v>5</v>
      </c>
      <c r="D55" s="28" t="s">
        <v>143</v>
      </c>
      <c r="E55" s="28"/>
      <c r="F55" s="30" t="s">
        <v>160</v>
      </c>
      <c r="H55" s="30" t="s">
        <v>160</v>
      </c>
    </row>
    <row r="56" ht="15" spans="1:8">
      <c r="A56">
        <v>1</v>
      </c>
      <c r="B56" s="33">
        <v>10102</v>
      </c>
      <c r="C56">
        <v>6</v>
      </c>
      <c r="D56" s="28" t="s">
        <v>144</v>
      </c>
      <c r="E56" s="28"/>
      <c r="F56" s="30" t="s">
        <v>161</v>
      </c>
      <c r="H56" s="30" t="s">
        <v>161</v>
      </c>
    </row>
    <row r="57" ht="15" spans="1:8">
      <c r="A57">
        <v>1</v>
      </c>
      <c r="B57" s="33">
        <v>10102</v>
      </c>
      <c r="C57">
        <v>7</v>
      </c>
      <c r="D57" s="28" t="s">
        <v>145</v>
      </c>
      <c r="E57" s="28"/>
      <c r="F57" s="30" t="s">
        <v>162</v>
      </c>
      <c r="H57" s="30" t="s">
        <v>162</v>
      </c>
    </row>
    <row r="58" ht="14.25" spans="1:8">
      <c r="A58">
        <v>1</v>
      </c>
      <c r="B58" s="33">
        <v>10102</v>
      </c>
      <c r="C58">
        <v>8</v>
      </c>
      <c r="D58" s="28" t="s">
        <v>146</v>
      </c>
      <c r="E58" s="28"/>
      <c r="F58" s="30" t="s">
        <v>163</v>
      </c>
      <c r="H58" s="30" t="s">
        <v>163</v>
      </c>
    </row>
    <row r="59" ht="14.25" spans="4:6">
      <c r="D59" s="28"/>
      <c r="E59" s="28"/>
      <c r="F59" s="30"/>
    </row>
    <row r="60" ht="14.25" spans="4:6">
      <c r="D60" s="28"/>
      <c r="E60" s="28"/>
      <c r="F60" s="30"/>
    </row>
    <row r="61" ht="14.25"/>
    <row r="62" ht="15" spans="1:6">
      <c r="A62">
        <v>1</v>
      </c>
      <c r="B62" s="33">
        <v>10201</v>
      </c>
      <c r="C62">
        <v>1</v>
      </c>
      <c r="D62" s="28" t="s">
        <v>139</v>
      </c>
      <c r="E62" s="28"/>
      <c r="F62" s="30" t="s">
        <v>164</v>
      </c>
    </row>
    <row r="63" ht="15" spans="1:6">
      <c r="A63">
        <v>1</v>
      </c>
      <c r="B63" s="33">
        <v>10201</v>
      </c>
      <c r="C63">
        <v>2</v>
      </c>
      <c r="D63" s="28" t="s">
        <v>140</v>
      </c>
      <c r="F63" s="30" t="s">
        <v>161</v>
      </c>
    </row>
    <row r="64" ht="15" spans="1:6">
      <c r="A64">
        <v>1</v>
      </c>
      <c r="B64" s="33">
        <v>10201</v>
      </c>
      <c r="C64">
        <v>3</v>
      </c>
      <c r="D64" s="28" t="s">
        <v>141</v>
      </c>
      <c r="F64" s="30" t="s">
        <v>165</v>
      </c>
    </row>
    <row r="65" ht="15" spans="1:6">
      <c r="A65">
        <v>1</v>
      </c>
      <c r="B65" s="33">
        <v>10201</v>
      </c>
      <c r="C65">
        <v>4</v>
      </c>
      <c r="D65" s="28" t="s">
        <v>142</v>
      </c>
      <c r="F65" s="30" t="s">
        <v>166</v>
      </c>
    </row>
    <row r="66" ht="15" spans="1:6">
      <c r="A66">
        <v>1</v>
      </c>
      <c r="B66" s="33">
        <v>10201</v>
      </c>
      <c r="C66">
        <v>5</v>
      </c>
      <c r="D66" s="28" t="s">
        <v>143</v>
      </c>
      <c r="F66" s="30" t="s">
        <v>167</v>
      </c>
    </row>
    <row r="67" ht="15" spans="1:6">
      <c r="A67">
        <v>1</v>
      </c>
      <c r="B67" s="33">
        <v>10201</v>
      </c>
      <c r="C67">
        <v>6</v>
      </c>
      <c r="D67" s="28" t="s">
        <v>144</v>
      </c>
      <c r="F67" s="30" t="s">
        <v>168</v>
      </c>
    </row>
    <row r="68" ht="15" spans="1:6">
      <c r="A68">
        <v>1</v>
      </c>
      <c r="B68" s="33">
        <v>10201</v>
      </c>
      <c r="C68">
        <v>7</v>
      </c>
      <c r="D68" s="28" t="s">
        <v>145</v>
      </c>
      <c r="F68" s="30" t="s">
        <v>169</v>
      </c>
    </row>
    <row r="69" ht="15" spans="1:6">
      <c r="A69">
        <v>1</v>
      </c>
      <c r="B69" s="33">
        <v>10201</v>
      </c>
      <c r="C69">
        <v>8</v>
      </c>
      <c r="D69" s="28" t="s">
        <v>146</v>
      </c>
      <c r="F69" s="30" t="s">
        <v>170</v>
      </c>
    </row>
    <row r="70" ht="15" spans="1:6">
      <c r="A70">
        <v>1</v>
      </c>
      <c r="B70" s="33">
        <v>10201</v>
      </c>
      <c r="C70">
        <v>9</v>
      </c>
      <c r="D70" s="28" t="s">
        <v>147</v>
      </c>
      <c r="F70" s="30" t="s">
        <v>171</v>
      </c>
    </row>
    <row r="71" ht="14.25" spans="1:6">
      <c r="A71">
        <v>1</v>
      </c>
      <c r="B71" s="33">
        <v>10201</v>
      </c>
      <c r="C71">
        <v>10</v>
      </c>
      <c r="D71" s="28" t="s">
        <v>148</v>
      </c>
      <c r="F71" s="30" t="s">
        <v>172</v>
      </c>
    </row>
    <row r="72" ht="14.25" spans="1:6">
      <c r="A72">
        <v>1</v>
      </c>
      <c r="B72" s="34">
        <v>10202</v>
      </c>
      <c r="C72">
        <v>4</v>
      </c>
      <c r="D72" s="28" t="s">
        <v>142</v>
      </c>
      <c r="F72" s="30" t="s">
        <v>164</v>
      </c>
    </row>
    <row r="73" ht="14.25" spans="1:6">
      <c r="A73">
        <v>1</v>
      </c>
      <c r="B73" s="34">
        <v>10202</v>
      </c>
      <c r="C73">
        <v>5</v>
      </c>
      <c r="D73" s="28" t="s">
        <v>143</v>
      </c>
      <c r="F73" s="30" t="s">
        <v>161</v>
      </c>
    </row>
    <row r="74" ht="14.25" spans="1:6">
      <c r="A74">
        <v>1</v>
      </c>
      <c r="B74" s="34">
        <v>10202</v>
      </c>
      <c r="C74">
        <v>6</v>
      </c>
      <c r="D74" s="28" t="s">
        <v>144</v>
      </c>
      <c r="F74" s="30" t="s">
        <v>165</v>
      </c>
    </row>
    <row r="75" ht="14.25" spans="1:6">
      <c r="A75">
        <v>1</v>
      </c>
      <c r="B75" s="34">
        <v>10202</v>
      </c>
      <c r="C75">
        <v>7</v>
      </c>
      <c r="D75" s="28" t="s">
        <v>145</v>
      </c>
      <c r="F75" s="30" t="s">
        <v>166</v>
      </c>
    </row>
    <row r="76" ht="14.25" spans="1:6">
      <c r="A76">
        <v>1</v>
      </c>
      <c r="B76" s="34">
        <v>10202</v>
      </c>
      <c r="C76">
        <v>8</v>
      </c>
      <c r="D76" s="28" t="s">
        <v>146</v>
      </c>
      <c r="F76" s="30" t="s">
        <v>173</v>
      </c>
    </row>
    <row r="77" ht="14.25" spans="1:6">
      <c r="A77">
        <v>1</v>
      </c>
      <c r="B77" s="34">
        <v>10202</v>
      </c>
      <c r="C77">
        <v>9</v>
      </c>
      <c r="D77" s="28" t="s">
        <v>147</v>
      </c>
      <c r="F77" s="30" t="s">
        <v>174</v>
      </c>
    </row>
    <row r="78" ht="14.25" spans="1:6">
      <c r="A78">
        <v>1</v>
      </c>
      <c r="B78" s="34">
        <v>10202</v>
      </c>
      <c r="C78">
        <v>10</v>
      </c>
      <c r="D78" s="28" t="s">
        <v>148</v>
      </c>
      <c r="F78" s="30" t="s">
        <v>175</v>
      </c>
    </row>
    <row r="79" ht="15" spans="1:6">
      <c r="A79">
        <v>1</v>
      </c>
      <c r="B79" s="35">
        <v>10203</v>
      </c>
      <c r="C79">
        <v>8</v>
      </c>
      <c r="D79" s="28" t="s">
        <v>146</v>
      </c>
      <c r="F79" s="30" t="s">
        <v>176</v>
      </c>
    </row>
    <row r="80" ht="15" spans="1:6">
      <c r="A80">
        <v>1</v>
      </c>
      <c r="B80" s="35">
        <v>10203</v>
      </c>
      <c r="C80">
        <v>9</v>
      </c>
      <c r="D80" s="28" t="s">
        <v>147</v>
      </c>
      <c r="F80" s="30" t="s">
        <v>177</v>
      </c>
    </row>
    <row r="81" ht="15" spans="1:6">
      <c r="A81">
        <v>1</v>
      </c>
      <c r="B81" s="35">
        <v>10203</v>
      </c>
      <c r="C81">
        <v>10</v>
      </c>
      <c r="D81" s="28" t="s">
        <v>148</v>
      </c>
      <c r="F81" s="30" t="s">
        <v>178</v>
      </c>
    </row>
    <row r="82" ht="15" spans="1:6">
      <c r="A82">
        <v>1</v>
      </c>
      <c r="B82" s="35">
        <v>10204</v>
      </c>
      <c r="C82">
        <v>8</v>
      </c>
      <c r="D82" s="28" t="s">
        <v>146</v>
      </c>
      <c r="F82" s="30" t="s">
        <v>176</v>
      </c>
    </row>
    <row r="83" ht="15" spans="1:6">
      <c r="A83">
        <v>1</v>
      </c>
      <c r="B83" s="35">
        <v>10204</v>
      </c>
      <c r="C83">
        <v>9</v>
      </c>
      <c r="D83" s="28" t="s">
        <v>147</v>
      </c>
      <c r="F83" s="30" t="s">
        <v>177</v>
      </c>
    </row>
    <row r="84" ht="15" spans="1:6">
      <c r="A84">
        <v>1</v>
      </c>
      <c r="B84" s="35">
        <v>10204</v>
      </c>
      <c r="C84">
        <v>10</v>
      </c>
      <c r="D84" s="28" t="s">
        <v>148</v>
      </c>
      <c r="F84" s="30" t="s">
        <v>178</v>
      </c>
    </row>
    <row r="85" ht="14.25"/>
    <row r="86" ht="15" spans="1:3">
      <c r="A86" s="31">
        <v>0</v>
      </c>
      <c r="B86" s="32" t="s">
        <v>94</v>
      </c>
      <c r="C86" s="29" t="s">
        <v>95</v>
      </c>
    </row>
    <row r="87" ht="15" spans="1:6">
      <c r="A87">
        <v>1</v>
      </c>
      <c r="B87" s="33">
        <v>10301</v>
      </c>
      <c r="C87">
        <v>1</v>
      </c>
      <c r="D87" s="28" t="s">
        <v>139</v>
      </c>
      <c r="E87" s="28"/>
      <c r="F87" s="30" t="s">
        <v>179</v>
      </c>
    </row>
    <row r="88" ht="15" spans="1:6">
      <c r="A88">
        <v>1</v>
      </c>
      <c r="B88" s="33">
        <v>10301</v>
      </c>
      <c r="C88">
        <v>2</v>
      </c>
      <c r="D88" s="28" t="s">
        <v>140</v>
      </c>
      <c r="E88" s="28"/>
      <c r="F88" s="30" t="s">
        <v>157</v>
      </c>
    </row>
    <row r="89" ht="15" spans="1:6">
      <c r="A89">
        <v>1</v>
      </c>
      <c r="B89" s="33">
        <v>10301</v>
      </c>
      <c r="C89">
        <v>3</v>
      </c>
      <c r="D89" s="28" t="s">
        <v>141</v>
      </c>
      <c r="E89" s="28"/>
      <c r="F89" s="30" t="s">
        <v>158</v>
      </c>
    </row>
    <row r="90" ht="15" spans="1:6">
      <c r="A90">
        <v>1</v>
      </c>
      <c r="B90" s="33">
        <v>10301</v>
      </c>
      <c r="C90">
        <v>4</v>
      </c>
      <c r="D90" s="28" t="s">
        <v>142</v>
      </c>
      <c r="E90" s="28"/>
      <c r="F90" s="30" t="s">
        <v>159</v>
      </c>
    </row>
    <row r="91" ht="15" spans="1:6">
      <c r="A91">
        <v>1</v>
      </c>
      <c r="B91" s="33">
        <v>10301</v>
      </c>
      <c r="C91">
        <v>5</v>
      </c>
      <c r="D91" s="28" t="s">
        <v>143</v>
      </c>
      <c r="E91" s="28"/>
      <c r="F91" s="30" t="s">
        <v>160</v>
      </c>
    </row>
    <row r="92" ht="15" spans="1:6">
      <c r="A92">
        <v>1</v>
      </c>
      <c r="B92" s="33">
        <v>10301</v>
      </c>
      <c r="C92">
        <v>6</v>
      </c>
      <c r="D92" s="28" t="s">
        <v>144</v>
      </c>
      <c r="E92" s="28"/>
      <c r="F92" s="30" t="s">
        <v>161</v>
      </c>
    </row>
    <row r="93" ht="15" spans="1:6">
      <c r="A93">
        <v>1</v>
      </c>
      <c r="B93" s="33">
        <v>10301</v>
      </c>
      <c r="C93">
        <v>7</v>
      </c>
      <c r="D93" s="28" t="s">
        <v>145</v>
      </c>
      <c r="E93" s="28"/>
      <c r="F93" s="30" t="s">
        <v>162</v>
      </c>
    </row>
    <row r="94" ht="15" spans="1:6">
      <c r="A94">
        <v>1</v>
      </c>
      <c r="B94" s="33">
        <v>10301</v>
      </c>
      <c r="C94">
        <v>8</v>
      </c>
      <c r="D94" s="28" t="s">
        <v>146</v>
      </c>
      <c r="E94" s="28"/>
      <c r="F94" s="30" t="s">
        <v>163</v>
      </c>
    </row>
    <row r="95" ht="15" spans="1:6">
      <c r="A95">
        <v>1</v>
      </c>
      <c r="B95" s="33">
        <v>10301</v>
      </c>
      <c r="C95">
        <v>9</v>
      </c>
      <c r="D95" s="28" t="s">
        <v>147</v>
      </c>
      <c r="E95" s="28"/>
      <c r="F95" s="30" t="s">
        <v>180</v>
      </c>
    </row>
    <row r="96" ht="15" spans="1:6">
      <c r="A96">
        <v>1</v>
      </c>
      <c r="B96" s="33">
        <v>10301</v>
      </c>
      <c r="C96">
        <v>10</v>
      </c>
      <c r="D96" s="28" t="s">
        <v>148</v>
      </c>
      <c r="E96" s="28"/>
      <c r="F96" s="30" t="s">
        <v>181</v>
      </c>
    </row>
    <row r="97" ht="15" spans="1:3">
      <c r="A97" s="31">
        <v>0</v>
      </c>
      <c r="B97" s="32" t="s">
        <v>94</v>
      </c>
      <c r="C97" s="29" t="s">
        <v>98</v>
      </c>
    </row>
    <row r="98" ht="15" spans="1:6">
      <c r="A98">
        <v>1</v>
      </c>
      <c r="B98" s="33">
        <v>10302</v>
      </c>
      <c r="C98">
        <v>1</v>
      </c>
      <c r="D98" s="28" t="s">
        <v>139</v>
      </c>
      <c r="E98" s="28"/>
      <c r="F98" s="30" t="s">
        <v>182</v>
      </c>
    </row>
    <row r="99" ht="15" spans="1:6">
      <c r="A99">
        <v>1</v>
      </c>
      <c r="B99" s="33">
        <v>10302</v>
      </c>
      <c r="C99">
        <v>2</v>
      </c>
      <c r="D99" s="28" t="s">
        <v>140</v>
      </c>
      <c r="E99" s="28"/>
      <c r="F99" s="30" t="s">
        <v>157</v>
      </c>
    </row>
    <row r="100" ht="15" spans="1:6">
      <c r="A100">
        <v>1</v>
      </c>
      <c r="B100" s="33">
        <v>10302</v>
      </c>
      <c r="C100">
        <v>3</v>
      </c>
      <c r="D100" s="28" t="s">
        <v>141</v>
      </c>
      <c r="E100" s="28"/>
      <c r="F100" s="30" t="s">
        <v>158</v>
      </c>
    </row>
    <row r="101" ht="15" spans="1:6">
      <c r="A101">
        <v>1</v>
      </c>
      <c r="B101" s="33">
        <v>10302</v>
      </c>
      <c r="C101">
        <v>4</v>
      </c>
      <c r="D101" s="28" t="s">
        <v>142</v>
      </c>
      <c r="E101" s="28"/>
      <c r="F101" s="30" t="s">
        <v>159</v>
      </c>
    </row>
    <row r="102" ht="15" spans="1:6">
      <c r="A102">
        <v>1</v>
      </c>
      <c r="B102" s="33">
        <v>10302</v>
      </c>
      <c r="C102">
        <v>5</v>
      </c>
      <c r="D102" s="28" t="s">
        <v>143</v>
      </c>
      <c r="E102" s="28"/>
      <c r="F102" s="30" t="s">
        <v>160</v>
      </c>
    </row>
    <row r="103" ht="15" spans="1:6">
      <c r="A103">
        <v>1</v>
      </c>
      <c r="B103" s="33">
        <v>10302</v>
      </c>
      <c r="C103">
        <v>6</v>
      </c>
      <c r="D103" s="28" t="s">
        <v>144</v>
      </c>
      <c r="E103" s="28"/>
      <c r="F103" s="30" t="s">
        <v>161</v>
      </c>
    </row>
    <row r="104" ht="15" spans="1:6">
      <c r="A104">
        <v>1</v>
      </c>
      <c r="B104" s="33">
        <v>10302</v>
      </c>
      <c r="C104">
        <v>7</v>
      </c>
      <c r="D104" s="28" t="s">
        <v>145</v>
      </c>
      <c r="E104" s="28"/>
      <c r="F104" s="30" t="s">
        <v>162</v>
      </c>
    </row>
    <row r="105" ht="15" spans="1:6">
      <c r="A105">
        <v>1</v>
      </c>
      <c r="B105" s="33">
        <v>10302</v>
      </c>
      <c r="C105">
        <v>8</v>
      </c>
      <c r="D105" s="28" t="s">
        <v>146</v>
      </c>
      <c r="E105" s="28"/>
      <c r="F105" s="30" t="s">
        <v>163</v>
      </c>
    </row>
    <row r="106" ht="15" spans="1:6">
      <c r="A106">
        <v>1</v>
      </c>
      <c r="B106" s="33">
        <v>10302</v>
      </c>
      <c r="C106">
        <v>9</v>
      </c>
      <c r="D106" s="28" t="s">
        <v>147</v>
      </c>
      <c r="E106" s="28"/>
      <c r="F106" s="30" t="s">
        <v>180</v>
      </c>
    </row>
    <row r="107" ht="15" spans="1:6">
      <c r="A107">
        <v>1</v>
      </c>
      <c r="B107" s="33">
        <v>10302</v>
      </c>
      <c r="C107">
        <v>10</v>
      </c>
      <c r="D107" s="28" t="s">
        <v>148</v>
      </c>
      <c r="E107" s="28"/>
      <c r="F107" s="30" t="s">
        <v>181</v>
      </c>
    </row>
    <row r="108" ht="15" spans="1:3">
      <c r="A108" s="31">
        <v>0</v>
      </c>
      <c r="B108" s="32" t="s">
        <v>101</v>
      </c>
      <c r="C108" s="29" t="s">
        <v>95</v>
      </c>
    </row>
    <row r="109" ht="14.25" spans="1:6">
      <c r="A109" s="29">
        <v>1</v>
      </c>
      <c r="B109">
        <v>10401</v>
      </c>
      <c r="C109">
        <v>1</v>
      </c>
      <c r="D109" s="28" t="s">
        <v>139</v>
      </c>
      <c r="E109" s="28"/>
      <c r="F109" s="30" t="s">
        <v>164</v>
      </c>
    </row>
    <row r="110" ht="14.25" spans="1:6">
      <c r="A110" s="29">
        <v>1</v>
      </c>
      <c r="B110">
        <v>10401</v>
      </c>
      <c r="C110">
        <v>2</v>
      </c>
      <c r="D110" s="28" t="s">
        <v>140</v>
      </c>
      <c r="E110" s="28"/>
      <c r="F110" s="30" t="s">
        <v>157</v>
      </c>
    </row>
    <row r="111" ht="14.25" spans="1:6">
      <c r="A111" s="29">
        <v>1</v>
      </c>
      <c r="B111">
        <v>10401</v>
      </c>
      <c r="C111">
        <v>3</v>
      </c>
      <c r="D111" s="28" t="s">
        <v>141</v>
      </c>
      <c r="E111" s="28"/>
      <c r="F111" s="30" t="s">
        <v>158</v>
      </c>
    </row>
    <row r="112" ht="14.25" spans="1:6">
      <c r="A112" s="29">
        <v>1</v>
      </c>
      <c r="B112">
        <v>10401</v>
      </c>
      <c r="C112">
        <v>4</v>
      </c>
      <c r="D112" s="28" t="s">
        <v>142</v>
      </c>
      <c r="E112" s="28"/>
      <c r="F112" s="30" t="s">
        <v>159</v>
      </c>
    </row>
    <row r="113" ht="14.25" spans="1:6">
      <c r="A113" s="29">
        <v>1</v>
      </c>
      <c r="B113">
        <v>10401</v>
      </c>
      <c r="C113">
        <v>5</v>
      </c>
      <c r="D113" s="28" t="s">
        <v>143</v>
      </c>
      <c r="E113" s="28"/>
      <c r="F113" s="30" t="s">
        <v>160</v>
      </c>
    </row>
    <row r="114" ht="14.25" spans="1:6">
      <c r="A114" s="29">
        <v>1</v>
      </c>
      <c r="B114">
        <v>10401</v>
      </c>
      <c r="C114">
        <v>6</v>
      </c>
      <c r="D114" s="28" t="s">
        <v>144</v>
      </c>
      <c r="E114" s="28"/>
      <c r="F114" s="30" t="s">
        <v>161</v>
      </c>
    </row>
    <row r="115" ht="14.25" spans="1:6">
      <c r="A115" s="29">
        <v>1</v>
      </c>
      <c r="B115">
        <v>10401</v>
      </c>
      <c r="C115">
        <v>7</v>
      </c>
      <c r="D115" s="28" t="s">
        <v>145</v>
      </c>
      <c r="E115" s="28"/>
      <c r="F115" s="30" t="s">
        <v>162</v>
      </c>
    </row>
    <row r="116" ht="14.25" spans="1:6">
      <c r="A116" s="29">
        <v>1</v>
      </c>
      <c r="B116">
        <v>10401</v>
      </c>
      <c r="C116">
        <v>8</v>
      </c>
      <c r="D116" s="28" t="s">
        <v>146</v>
      </c>
      <c r="E116" s="28"/>
      <c r="F116" s="30" t="s">
        <v>163</v>
      </c>
    </row>
    <row r="117" ht="14.25" spans="1:6">
      <c r="A117" s="29">
        <v>1</v>
      </c>
      <c r="B117">
        <v>10401</v>
      </c>
      <c r="C117">
        <v>9</v>
      </c>
      <c r="D117" s="28" t="s">
        <v>147</v>
      </c>
      <c r="E117" s="28"/>
      <c r="F117" s="30" t="s">
        <v>180</v>
      </c>
    </row>
    <row r="118" ht="15" spans="1:6">
      <c r="A118" s="29">
        <v>1</v>
      </c>
      <c r="B118">
        <v>10401</v>
      </c>
      <c r="C118">
        <v>10</v>
      </c>
      <c r="D118" s="28" t="s">
        <v>148</v>
      </c>
      <c r="E118" s="28"/>
      <c r="F118" s="30" t="s">
        <v>181</v>
      </c>
    </row>
    <row r="119" ht="15" spans="1:3">
      <c r="A119" s="31">
        <v>0</v>
      </c>
      <c r="B119" s="32" t="s">
        <v>101</v>
      </c>
      <c r="C119" s="29" t="s">
        <v>105</v>
      </c>
    </row>
    <row r="120" ht="14.25" spans="1:6">
      <c r="A120" s="29">
        <v>1</v>
      </c>
      <c r="B120">
        <v>10402</v>
      </c>
      <c r="C120">
        <v>6</v>
      </c>
      <c r="D120" s="28" t="s">
        <v>144</v>
      </c>
      <c r="E120" s="28"/>
      <c r="F120" s="30" t="s">
        <v>161</v>
      </c>
    </row>
    <row r="121" ht="14.25" spans="1:6">
      <c r="A121" s="29">
        <v>1</v>
      </c>
      <c r="B121">
        <v>10402</v>
      </c>
      <c r="C121">
        <v>7</v>
      </c>
      <c r="D121" s="28" t="s">
        <v>145</v>
      </c>
      <c r="E121" s="28"/>
      <c r="F121" s="30" t="s">
        <v>162</v>
      </c>
    </row>
    <row r="122" ht="14.25" spans="1:6">
      <c r="A122" s="29">
        <v>1</v>
      </c>
      <c r="B122">
        <v>10402</v>
      </c>
      <c r="C122">
        <v>8</v>
      </c>
      <c r="D122" s="28" t="s">
        <v>146</v>
      </c>
      <c r="E122" s="28"/>
      <c r="F122" s="30" t="s">
        <v>163</v>
      </c>
    </row>
    <row r="123" ht="14.25" spans="1:6">
      <c r="A123" s="29">
        <v>1</v>
      </c>
      <c r="B123">
        <v>10402</v>
      </c>
      <c r="C123">
        <v>9</v>
      </c>
      <c r="D123" s="28" t="s">
        <v>147</v>
      </c>
      <c r="E123" s="28"/>
      <c r="F123" s="30" t="s">
        <v>180</v>
      </c>
    </row>
    <row r="124" ht="14.25" spans="1:6">
      <c r="A124" s="29">
        <v>1</v>
      </c>
      <c r="B124">
        <v>10402</v>
      </c>
      <c r="C124">
        <v>10</v>
      </c>
      <c r="D124" s="28" t="s">
        <v>148</v>
      </c>
      <c r="E124" s="28"/>
      <c r="F124" s="30" t="s">
        <v>181</v>
      </c>
    </row>
    <row r="125" ht="15" spans="1:6">
      <c r="A125" s="29">
        <v>1</v>
      </c>
      <c r="B125">
        <v>10402</v>
      </c>
      <c r="C125">
        <v>11</v>
      </c>
      <c r="D125" s="28" t="s">
        <v>149</v>
      </c>
      <c r="E125" s="28"/>
      <c r="F125" s="30" t="s">
        <v>165</v>
      </c>
    </row>
    <row r="126" ht="15" spans="1:3">
      <c r="A126" s="31">
        <v>0</v>
      </c>
      <c r="B126" s="32" t="s">
        <v>101</v>
      </c>
      <c r="C126" s="29" t="s">
        <v>98</v>
      </c>
    </row>
    <row r="127" ht="14.25" spans="1:6">
      <c r="A127" s="29">
        <v>1</v>
      </c>
      <c r="B127">
        <v>10403</v>
      </c>
      <c r="C127">
        <v>1</v>
      </c>
      <c r="D127" s="28" t="s">
        <v>139</v>
      </c>
      <c r="E127" s="28"/>
      <c r="F127" s="30" t="s">
        <v>164</v>
      </c>
    </row>
    <row r="128" ht="14.25" spans="1:6">
      <c r="A128" s="29">
        <v>1</v>
      </c>
      <c r="B128">
        <v>10403</v>
      </c>
      <c r="C128">
        <v>2</v>
      </c>
      <c r="D128" s="28" t="s">
        <v>140</v>
      </c>
      <c r="E128" s="28"/>
      <c r="F128" s="30" t="s">
        <v>157</v>
      </c>
    </row>
    <row r="129" ht="14.25" spans="1:6">
      <c r="A129" s="29">
        <v>1</v>
      </c>
      <c r="B129">
        <v>10403</v>
      </c>
      <c r="C129">
        <v>3</v>
      </c>
      <c r="D129" s="28" t="s">
        <v>141</v>
      </c>
      <c r="E129" s="28"/>
      <c r="F129" s="30" t="s">
        <v>158</v>
      </c>
    </row>
    <row r="130" ht="14.25" spans="1:6">
      <c r="A130" s="29">
        <v>1</v>
      </c>
      <c r="B130">
        <v>10403</v>
      </c>
      <c r="C130">
        <v>4</v>
      </c>
      <c r="D130" s="28" t="s">
        <v>142</v>
      </c>
      <c r="E130" s="28"/>
      <c r="F130" s="30" t="s">
        <v>159</v>
      </c>
    </row>
    <row r="131" ht="14.25" spans="1:6">
      <c r="A131" s="29">
        <v>1</v>
      </c>
      <c r="B131">
        <v>10403</v>
      </c>
      <c r="C131">
        <v>5</v>
      </c>
      <c r="D131" s="28" t="s">
        <v>143</v>
      </c>
      <c r="E131" s="28"/>
      <c r="F131" s="30" t="s">
        <v>160</v>
      </c>
    </row>
    <row r="132" ht="14.25" spans="1:6">
      <c r="A132" s="29">
        <v>1</v>
      </c>
      <c r="B132">
        <v>10403</v>
      </c>
      <c r="C132">
        <v>6</v>
      </c>
      <c r="D132" s="28" t="s">
        <v>144</v>
      </c>
      <c r="E132" s="28"/>
      <c r="F132" s="30" t="s">
        <v>161</v>
      </c>
    </row>
    <row r="133" ht="14.25" spans="1:6">
      <c r="A133" s="29">
        <v>1</v>
      </c>
      <c r="B133">
        <v>10403</v>
      </c>
      <c r="C133">
        <v>7</v>
      </c>
      <c r="D133" s="28" t="s">
        <v>145</v>
      </c>
      <c r="E133" s="28"/>
      <c r="F133" s="30" t="s">
        <v>162</v>
      </c>
    </row>
    <row r="134" ht="14.25" spans="1:6">
      <c r="A134" s="29">
        <v>1</v>
      </c>
      <c r="B134">
        <v>10403</v>
      </c>
      <c r="C134">
        <v>8</v>
      </c>
      <c r="D134" s="28" t="s">
        <v>146</v>
      </c>
      <c r="E134" s="28"/>
      <c r="F134" s="30" t="s">
        <v>163</v>
      </c>
    </row>
    <row r="135" ht="14.25" spans="1:6">
      <c r="A135" s="29">
        <v>1</v>
      </c>
      <c r="B135">
        <v>10403</v>
      </c>
      <c r="C135">
        <v>9</v>
      </c>
      <c r="D135" s="28" t="s">
        <v>147</v>
      </c>
      <c r="E135" s="28"/>
      <c r="F135" s="30" t="s">
        <v>180</v>
      </c>
    </row>
    <row r="136" ht="15" spans="1:6">
      <c r="A136" s="29">
        <v>1</v>
      </c>
      <c r="B136">
        <v>10403</v>
      </c>
      <c r="C136">
        <v>10</v>
      </c>
      <c r="D136" s="28" t="s">
        <v>148</v>
      </c>
      <c r="E136" s="28"/>
      <c r="F136" s="30" t="s">
        <v>181</v>
      </c>
    </row>
    <row r="137" ht="15" spans="1:3">
      <c r="A137" s="31">
        <v>0</v>
      </c>
      <c r="B137" s="36" t="s">
        <v>110</v>
      </c>
      <c r="C137" s="29" t="s">
        <v>105</v>
      </c>
    </row>
    <row r="138" ht="14.25" spans="1:6">
      <c r="A138" s="29">
        <v>1</v>
      </c>
      <c r="B138" s="7">
        <v>10501</v>
      </c>
      <c r="C138">
        <v>5</v>
      </c>
      <c r="D138" s="28" t="s">
        <v>143</v>
      </c>
      <c r="E138" s="28"/>
      <c r="F138" s="30" t="s">
        <v>160</v>
      </c>
    </row>
    <row r="139" ht="14.25" spans="1:6">
      <c r="A139" s="29">
        <v>1</v>
      </c>
      <c r="B139" s="7">
        <v>10501</v>
      </c>
      <c r="C139">
        <v>6</v>
      </c>
      <c r="D139" s="28" t="s">
        <v>144</v>
      </c>
      <c r="E139" s="28"/>
      <c r="F139" s="30" t="s">
        <v>161</v>
      </c>
    </row>
    <row r="140" ht="14.25" spans="1:6">
      <c r="A140" s="29">
        <v>1</v>
      </c>
      <c r="B140" s="7">
        <v>10501</v>
      </c>
      <c r="C140">
        <v>7</v>
      </c>
      <c r="D140" s="28" t="s">
        <v>145</v>
      </c>
      <c r="E140" s="28"/>
      <c r="F140" s="30" t="s">
        <v>162</v>
      </c>
    </row>
    <row r="141" ht="14.25" spans="1:6">
      <c r="A141" s="29">
        <v>1</v>
      </c>
      <c r="B141" s="7">
        <v>10501</v>
      </c>
      <c r="C141">
        <v>8</v>
      </c>
      <c r="D141" s="28" t="s">
        <v>146</v>
      </c>
      <c r="E141" s="28"/>
      <c r="F141" s="30" t="s">
        <v>163</v>
      </c>
    </row>
    <row r="142" ht="14.25" spans="1:6">
      <c r="A142" s="29">
        <v>1</v>
      </c>
      <c r="B142" s="7">
        <v>10501</v>
      </c>
      <c r="C142">
        <v>9</v>
      </c>
      <c r="D142" s="28" t="s">
        <v>147</v>
      </c>
      <c r="E142" s="28"/>
      <c r="F142" s="30" t="s">
        <v>180</v>
      </c>
    </row>
    <row r="143" ht="14.25" spans="1:6">
      <c r="A143" s="29">
        <v>1</v>
      </c>
      <c r="B143" s="7">
        <v>10501</v>
      </c>
      <c r="C143">
        <v>10</v>
      </c>
      <c r="D143" s="28" t="s">
        <v>148</v>
      </c>
      <c r="E143" s="28"/>
      <c r="F143" s="30" t="s">
        <v>181</v>
      </c>
    </row>
    <row r="144" ht="15" spans="1:6">
      <c r="A144" s="29">
        <v>1</v>
      </c>
      <c r="B144" s="7">
        <v>10501</v>
      </c>
      <c r="C144">
        <v>11</v>
      </c>
      <c r="D144" s="28" t="s">
        <v>149</v>
      </c>
      <c r="E144" s="28"/>
      <c r="F144" s="30" t="s">
        <v>165</v>
      </c>
    </row>
    <row r="145" ht="15" spans="1:3">
      <c r="A145" s="31">
        <v>0</v>
      </c>
      <c r="B145" s="36" t="s">
        <v>110</v>
      </c>
      <c r="C145" s="29" t="s">
        <v>74</v>
      </c>
    </row>
    <row r="146" ht="14.25" spans="1:6">
      <c r="A146" s="29">
        <v>1</v>
      </c>
      <c r="B146" s="7">
        <v>10502</v>
      </c>
      <c r="C146">
        <v>1</v>
      </c>
      <c r="D146" s="28" t="s">
        <v>139</v>
      </c>
      <c r="E146" s="28"/>
      <c r="F146" s="30" t="s">
        <v>183</v>
      </c>
    </row>
    <row r="147" ht="14.25" spans="1:6">
      <c r="A147" s="29">
        <v>1</v>
      </c>
      <c r="B147" s="7">
        <v>10502</v>
      </c>
      <c r="C147">
        <v>2</v>
      </c>
      <c r="D147" s="28" t="s">
        <v>140</v>
      </c>
      <c r="E147" s="28"/>
      <c r="F147" s="30" t="s">
        <v>184</v>
      </c>
    </row>
    <row r="148" ht="14.25" spans="1:6">
      <c r="A148" s="29">
        <v>1</v>
      </c>
      <c r="B148" s="7">
        <v>10502</v>
      </c>
      <c r="C148">
        <v>3</v>
      </c>
      <c r="D148" s="28" t="s">
        <v>141</v>
      </c>
      <c r="E148" s="28"/>
      <c r="F148" s="30" t="s">
        <v>184</v>
      </c>
    </row>
    <row r="149" ht="14.25" spans="1:6">
      <c r="A149" s="29">
        <v>1</v>
      </c>
      <c r="B149" s="7">
        <v>10502</v>
      </c>
      <c r="C149">
        <v>4</v>
      </c>
      <c r="D149" s="28" t="s">
        <v>142</v>
      </c>
      <c r="E149" s="28"/>
      <c r="F149" s="30" t="s">
        <v>184</v>
      </c>
    </row>
    <row r="150" ht="14.25" spans="1:6">
      <c r="A150" s="29">
        <v>1</v>
      </c>
      <c r="B150" s="7">
        <v>10502</v>
      </c>
      <c r="C150">
        <v>5</v>
      </c>
      <c r="D150" s="28" t="s">
        <v>143</v>
      </c>
      <c r="E150" s="28"/>
      <c r="F150" s="30" t="s">
        <v>184</v>
      </c>
    </row>
    <row r="151" ht="14.25" spans="1:6">
      <c r="A151" s="29">
        <v>1</v>
      </c>
      <c r="B151" s="7">
        <v>10502</v>
      </c>
      <c r="C151">
        <v>6</v>
      </c>
      <c r="D151" s="28" t="s">
        <v>144</v>
      </c>
      <c r="E151" s="28"/>
      <c r="F151" s="30" t="s">
        <v>184</v>
      </c>
    </row>
    <row r="152" ht="14.25" spans="1:6">
      <c r="A152" s="29">
        <v>1</v>
      </c>
      <c r="B152" s="7">
        <v>10502</v>
      </c>
      <c r="C152">
        <v>7</v>
      </c>
      <c r="D152" s="28" t="s">
        <v>145</v>
      </c>
      <c r="E152" s="28"/>
      <c r="F152" s="30" t="s">
        <v>184</v>
      </c>
    </row>
    <row r="153" ht="14.25" spans="1:6">
      <c r="A153" s="29">
        <v>1</v>
      </c>
      <c r="B153" s="7">
        <v>10502</v>
      </c>
      <c r="C153">
        <v>8</v>
      </c>
      <c r="D153" s="28" t="s">
        <v>146</v>
      </c>
      <c r="E153" s="28"/>
      <c r="F153" s="30" t="s">
        <v>184</v>
      </c>
    </row>
    <row r="154" ht="14.25" spans="1:6">
      <c r="A154" s="29">
        <v>1</v>
      </c>
      <c r="B154" s="7">
        <v>10502</v>
      </c>
      <c r="C154">
        <v>9</v>
      </c>
      <c r="D154" s="28" t="s">
        <v>147</v>
      </c>
      <c r="E154" s="28"/>
      <c r="F154" s="30" t="s">
        <v>184</v>
      </c>
    </row>
    <row r="155" ht="14.25" spans="1:6">
      <c r="A155" s="29">
        <v>1</v>
      </c>
      <c r="B155" s="7">
        <v>10502</v>
      </c>
      <c r="C155">
        <v>10</v>
      </c>
      <c r="D155" s="28" t="s">
        <v>148</v>
      </c>
      <c r="E155" s="28"/>
      <c r="F155" s="30" t="s">
        <v>184</v>
      </c>
    </row>
    <row r="156" ht="15" spans="1:6">
      <c r="A156" s="29">
        <v>1</v>
      </c>
      <c r="B156" s="7">
        <v>10502</v>
      </c>
      <c r="C156">
        <v>11</v>
      </c>
      <c r="D156" s="28" t="s">
        <v>149</v>
      </c>
      <c r="E156" s="28"/>
      <c r="F156" s="30" t="s">
        <v>184</v>
      </c>
    </row>
    <row r="157" ht="15" spans="1:6">
      <c r="A157" s="31">
        <v>0</v>
      </c>
      <c r="B157" s="36" t="s">
        <v>110</v>
      </c>
      <c r="C157" s="29" t="s">
        <v>78</v>
      </c>
      <c r="D157" s="28"/>
      <c r="E157" s="28"/>
      <c r="F157" s="30"/>
    </row>
    <row r="158" ht="14.25" spans="1:6">
      <c r="A158" s="29">
        <v>1</v>
      </c>
      <c r="B158" s="7">
        <v>10503</v>
      </c>
      <c r="C158">
        <v>9</v>
      </c>
      <c r="D158" s="28" t="s">
        <v>146</v>
      </c>
      <c r="E158" s="28"/>
      <c r="F158" s="30" t="s">
        <v>163</v>
      </c>
    </row>
    <row r="159" ht="14.25" spans="1:6">
      <c r="A159" s="29">
        <v>1</v>
      </c>
      <c r="B159" s="7">
        <v>10503</v>
      </c>
      <c r="C159">
        <v>9</v>
      </c>
      <c r="D159" s="28" t="s">
        <v>147</v>
      </c>
      <c r="E159" s="28"/>
      <c r="F159" s="30" t="s">
        <v>180</v>
      </c>
    </row>
    <row r="160" ht="14.25" spans="1:6">
      <c r="A160" s="29">
        <v>1</v>
      </c>
      <c r="B160" s="7">
        <v>10503</v>
      </c>
      <c r="C160">
        <v>10</v>
      </c>
      <c r="D160" s="28" t="s">
        <v>148</v>
      </c>
      <c r="E160" s="28"/>
      <c r="F160" s="30" t="s">
        <v>181</v>
      </c>
    </row>
    <row r="161" ht="15" spans="1:6">
      <c r="A161" s="29">
        <v>1</v>
      </c>
      <c r="B161" s="7">
        <v>10503</v>
      </c>
      <c r="C161">
        <v>11</v>
      </c>
      <c r="D161" s="28" t="s">
        <v>149</v>
      </c>
      <c r="E161" s="28"/>
      <c r="F161" s="30" t="s">
        <v>165</v>
      </c>
    </row>
    <row r="162" ht="15" spans="1:4">
      <c r="A162" s="31">
        <v>0</v>
      </c>
      <c r="B162" s="36" t="s">
        <v>117</v>
      </c>
      <c r="C162" s="29" t="s">
        <v>74</v>
      </c>
      <c r="D162" t="s">
        <v>185</v>
      </c>
    </row>
    <row r="163" ht="14.25" spans="1:6">
      <c r="A163" s="29">
        <v>1</v>
      </c>
      <c r="B163" s="7">
        <v>10601</v>
      </c>
      <c r="C163">
        <v>6</v>
      </c>
      <c r="D163" s="28" t="s">
        <v>144</v>
      </c>
      <c r="E163" s="28"/>
      <c r="F163" s="30" t="s">
        <v>161</v>
      </c>
    </row>
    <row r="164" ht="14.25" spans="1:6">
      <c r="A164" s="29">
        <v>1</v>
      </c>
      <c r="B164" s="7">
        <v>10601</v>
      </c>
      <c r="C164">
        <v>7</v>
      </c>
      <c r="D164" s="28" t="s">
        <v>145</v>
      </c>
      <c r="E164" s="28"/>
      <c r="F164" s="30" t="s">
        <v>162</v>
      </c>
    </row>
    <row r="165" ht="14.25" spans="1:6">
      <c r="A165" s="29">
        <v>1</v>
      </c>
      <c r="B165" s="7">
        <v>10601</v>
      </c>
      <c r="C165">
        <v>8</v>
      </c>
      <c r="D165" s="28" t="s">
        <v>146</v>
      </c>
      <c r="E165" s="28"/>
      <c r="F165" s="30" t="s">
        <v>163</v>
      </c>
    </row>
    <row r="166" ht="14.25" spans="1:6">
      <c r="A166" s="29">
        <v>1</v>
      </c>
      <c r="B166" s="7">
        <v>10601</v>
      </c>
      <c r="C166">
        <v>9</v>
      </c>
      <c r="D166" s="28" t="s">
        <v>147</v>
      </c>
      <c r="E166" s="28"/>
      <c r="F166" s="30" t="s">
        <v>180</v>
      </c>
    </row>
    <row r="167" ht="14.25" spans="1:6">
      <c r="A167" s="29">
        <v>1</v>
      </c>
      <c r="B167" s="7">
        <v>10601</v>
      </c>
      <c r="C167">
        <v>10</v>
      </c>
      <c r="D167" s="28" t="s">
        <v>148</v>
      </c>
      <c r="E167" s="28"/>
      <c r="F167" s="30" t="s">
        <v>181</v>
      </c>
    </row>
    <row r="168" ht="15" spans="1:6">
      <c r="A168" s="29">
        <v>1</v>
      </c>
      <c r="B168" s="7">
        <v>10601</v>
      </c>
      <c r="C168">
        <v>11</v>
      </c>
      <c r="D168" s="28" t="s">
        <v>149</v>
      </c>
      <c r="E168" s="28"/>
      <c r="F168" s="30" t="s">
        <v>165</v>
      </c>
    </row>
    <row r="169" ht="15" spans="1:3">
      <c r="A169" s="31">
        <v>0</v>
      </c>
      <c r="B169" s="36" t="s">
        <v>117</v>
      </c>
      <c r="C169" s="29" t="s">
        <v>78</v>
      </c>
    </row>
    <row r="170" ht="14.25" spans="1:6">
      <c r="A170" s="29">
        <v>1</v>
      </c>
      <c r="B170" s="7">
        <v>10602</v>
      </c>
      <c r="C170">
        <v>1</v>
      </c>
      <c r="D170" s="28" t="s">
        <v>139</v>
      </c>
      <c r="E170" s="28"/>
      <c r="F170" s="30" t="s">
        <v>164</v>
      </c>
    </row>
    <row r="171" ht="14.25" spans="1:6">
      <c r="A171" s="29">
        <v>1</v>
      </c>
      <c r="B171" s="7">
        <v>10602</v>
      </c>
      <c r="C171">
        <v>2</v>
      </c>
      <c r="D171" s="28" t="s">
        <v>140</v>
      </c>
      <c r="E171" s="28"/>
      <c r="F171" s="30" t="s">
        <v>157</v>
      </c>
    </row>
    <row r="172" ht="14.25" spans="1:6">
      <c r="A172" s="29">
        <v>1</v>
      </c>
      <c r="B172" s="7">
        <v>10602</v>
      </c>
      <c r="C172">
        <v>3</v>
      </c>
      <c r="D172" s="28" t="s">
        <v>141</v>
      </c>
      <c r="E172" s="28"/>
      <c r="F172" s="30" t="s">
        <v>158</v>
      </c>
    </row>
    <row r="173" ht="14.25" spans="1:6">
      <c r="A173" s="29">
        <v>1</v>
      </c>
      <c r="B173" s="7">
        <v>10602</v>
      </c>
      <c r="C173">
        <v>4</v>
      </c>
      <c r="D173" s="28" t="s">
        <v>142</v>
      </c>
      <c r="E173" s="28"/>
      <c r="F173" s="30" t="s">
        <v>159</v>
      </c>
    </row>
    <row r="174" ht="14.25" spans="1:6">
      <c r="A174" s="29">
        <v>1</v>
      </c>
      <c r="B174" s="7">
        <v>10602</v>
      </c>
      <c r="C174">
        <v>5</v>
      </c>
      <c r="D174" s="28" t="s">
        <v>143</v>
      </c>
      <c r="E174" s="28"/>
      <c r="F174" s="30" t="s">
        <v>160</v>
      </c>
    </row>
    <row r="175" ht="14.25" spans="1:6">
      <c r="A175" s="29">
        <v>1</v>
      </c>
      <c r="B175" s="7">
        <v>10602</v>
      </c>
      <c r="C175">
        <v>6</v>
      </c>
      <c r="D175" s="28" t="s">
        <v>144</v>
      </c>
      <c r="E175" s="28"/>
      <c r="F175" s="30" t="s">
        <v>161</v>
      </c>
    </row>
    <row r="176" ht="14.25" spans="1:6">
      <c r="A176" s="29">
        <v>1</v>
      </c>
      <c r="B176" s="7">
        <v>10602</v>
      </c>
      <c r="C176">
        <v>7</v>
      </c>
      <c r="D176" s="28" t="s">
        <v>145</v>
      </c>
      <c r="E176" s="28"/>
      <c r="F176" s="30" t="s">
        <v>162</v>
      </c>
    </row>
    <row r="177" ht="14.25" spans="1:6">
      <c r="A177" s="29">
        <v>1</v>
      </c>
      <c r="B177" s="7">
        <v>10602</v>
      </c>
      <c r="C177">
        <v>8</v>
      </c>
      <c r="D177" s="28" t="s">
        <v>146</v>
      </c>
      <c r="E177" s="28"/>
      <c r="F177" s="30" t="s">
        <v>163</v>
      </c>
    </row>
    <row r="178" ht="14.25" spans="1:6">
      <c r="A178" s="29">
        <v>1</v>
      </c>
      <c r="B178" s="7">
        <v>10602</v>
      </c>
      <c r="C178">
        <v>9</v>
      </c>
      <c r="D178" s="28" t="s">
        <v>147</v>
      </c>
      <c r="E178" s="28"/>
      <c r="F178" s="30" t="s">
        <v>180</v>
      </c>
    </row>
    <row r="179" ht="14.25" spans="1:6">
      <c r="A179" s="29">
        <v>1</v>
      </c>
      <c r="B179" s="7">
        <v>10602</v>
      </c>
      <c r="C179">
        <v>10</v>
      </c>
      <c r="D179" s="28" t="s">
        <v>148</v>
      </c>
      <c r="E179" s="28"/>
      <c r="F179" s="30" t="s">
        <v>181</v>
      </c>
    </row>
    <row r="180" ht="15" spans="1:6">
      <c r="A180" s="29">
        <v>1</v>
      </c>
      <c r="B180" s="7">
        <v>10602</v>
      </c>
      <c r="C180">
        <v>11</v>
      </c>
      <c r="D180" s="28" t="s">
        <v>149</v>
      </c>
      <c r="E180" s="28"/>
      <c r="F180" s="30" t="s">
        <v>165</v>
      </c>
    </row>
    <row r="181" ht="15" spans="1:3">
      <c r="A181" s="31">
        <v>0</v>
      </c>
      <c r="B181" s="36" t="s">
        <v>117</v>
      </c>
      <c r="C181" s="29" t="s">
        <v>121</v>
      </c>
    </row>
    <row r="182" ht="14.25" spans="1:6">
      <c r="A182" s="29">
        <v>1</v>
      </c>
      <c r="B182" s="7">
        <v>10603</v>
      </c>
      <c r="C182">
        <v>1</v>
      </c>
      <c r="D182" s="28" t="s">
        <v>139</v>
      </c>
      <c r="E182" s="28"/>
      <c r="F182" s="30" t="s">
        <v>164</v>
      </c>
    </row>
    <row r="183" ht="14.25" spans="1:6">
      <c r="A183" s="29">
        <v>1</v>
      </c>
      <c r="B183" s="7">
        <v>10603</v>
      </c>
      <c r="C183">
        <v>2</v>
      </c>
      <c r="D183" s="28" t="s">
        <v>140</v>
      </c>
      <c r="E183" s="28"/>
      <c r="F183" s="30" t="s">
        <v>157</v>
      </c>
    </row>
    <row r="184" ht="14.25" spans="1:6">
      <c r="A184" s="29">
        <v>1</v>
      </c>
      <c r="B184" s="7">
        <v>10603</v>
      </c>
      <c r="C184">
        <v>3</v>
      </c>
      <c r="D184" s="28" t="s">
        <v>141</v>
      </c>
      <c r="E184" s="28"/>
      <c r="F184" s="30" t="s">
        <v>158</v>
      </c>
    </row>
    <row r="185" ht="14.25" spans="1:6">
      <c r="A185" s="29">
        <v>1</v>
      </c>
      <c r="B185" s="7">
        <v>10603</v>
      </c>
      <c r="C185">
        <v>4</v>
      </c>
      <c r="D185" s="28" t="s">
        <v>142</v>
      </c>
      <c r="E185" s="28"/>
      <c r="F185" s="30" t="s">
        <v>159</v>
      </c>
    </row>
    <row r="186" ht="14.25" spans="1:6">
      <c r="A186" s="29">
        <v>1</v>
      </c>
      <c r="B186" s="7">
        <v>10603</v>
      </c>
      <c r="C186">
        <v>5</v>
      </c>
      <c r="D186" s="28" t="s">
        <v>143</v>
      </c>
      <c r="E186" s="28"/>
      <c r="F186" s="30" t="s">
        <v>160</v>
      </c>
    </row>
    <row r="187" ht="14.25" spans="1:6">
      <c r="A187" s="29">
        <v>1</v>
      </c>
      <c r="B187" s="7">
        <v>10603</v>
      </c>
      <c r="C187">
        <v>6</v>
      </c>
      <c r="D187" s="28" t="s">
        <v>144</v>
      </c>
      <c r="E187" s="28"/>
      <c r="F187" s="30" t="s">
        <v>161</v>
      </c>
    </row>
    <row r="188" ht="14.25" spans="1:6">
      <c r="A188" s="29">
        <v>1</v>
      </c>
      <c r="B188" s="7">
        <v>10603</v>
      </c>
      <c r="C188">
        <v>7</v>
      </c>
      <c r="D188" s="28" t="s">
        <v>145</v>
      </c>
      <c r="E188" s="28"/>
      <c r="F188" s="30" t="s">
        <v>162</v>
      </c>
    </row>
    <row r="189" ht="14.25" spans="1:6">
      <c r="A189" s="29">
        <v>1</v>
      </c>
      <c r="B189" s="7">
        <v>10603</v>
      </c>
      <c r="C189">
        <v>8</v>
      </c>
      <c r="D189" s="28" t="s">
        <v>146</v>
      </c>
      <c r="E189" s="28"/>
      <c r="F189" s="30" t="s">
        <v>163</v>
      </c>
    </row>
    <row r="190" ht="14.25" spans="1:6">
      <c r="A190" s="29">
        <v>1</v>
      </c>
      <c r="B190" s="7">
        <v>10603</v>
      </c>
      <c r="C190">
        <v>9</v>
      </c>
      <c r="D190" s="28" t="s">
        <v>147</v>
      </c>
      <c r="E190" s="28"/>
      <c r="F190" s="30" t="s">
        <v>180</v>
      </c>
    </row>
    <row r="191" ht="14.25" spans="1:6">
      <c r="A191" s="29">
        <v>1</v>
      </c>
      <c r="B191" s="7">
        <v>10603</v>
      </c>
      <c r="C191">
        <v>10</v>
      </c>
      <c r="D191" s="28" t="s">
        <v>148</v>
      </c>
      <c r="E191" s="28"/>
      <c r="F191" s="30" t="s">
        <v>181</v>
      </c>
    </row>
    <row r="192" ht="14.25" spans="1:6">
      <c r="A192" s="29">
        <v>1</v>
      </c>
      <c r="B192" s="7">
        <v>10603</v>
      </c>
      <c r="C192">
        <v>11</v>
      </c>
      <c r="D192" s="28" t="s">
        <v>149</v>
      </c>
      <c r="E192" s="28"/>
      <c r="F192" s="30" t="s">
        <v>165</v>
      </c>
    </row>
    <row r="193" ht="14.25" spans="1:2">
      <c r="A193" s="29"/>
      <c r="B193" s="7"/>
    </row>
    <row r="194" ht="14.25" spans="1:2">
      <c r="A194" s="29"/>
      <c r="B194" s="7"/>
    </row>
  </sheetData>
  <dataValidations count="1">
    <dataValidation type="list" allowBlank="1" showInputMessage="1" showErrorMessage="1" sqref="B4:F4">
      <formula1>数据类型!$B$2:$B$56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0"/>
  <sheetViews>
    <sheetView zoomScale="130" zoomScaleNormal="130" topLeftCell="A10" workbookViewId="0">
      <selection activeCell="E40" sqref="E40"/>
    </sheetView>
  </sheetViews>
  <sheetFormatPr defaultColWidth="9" defaultRowHeight="14.25" outlineLevelCol="7"/>
  <cols>
    <col min="1" max="1" width="44.85" style="3" customWidth="1"/>
    <col min="2" max="2" width="14.7" style="3" customWidth="1"/>
    <col min="3" max="3" width="16.3166666666667" style="3" customWidth="1"/>
    <col min="4" max="4" width="20.1333333333333" style="3" customWidth="1"/>
    <col min="5" max="5" width="26.8416666666667" style="3" customWidth="1"/>
    <col min="6" max="6" width="31" style="3" customWidth="1"/>
    <col min="7" max="7" width="28.2583333333333" style="3" customWidth="1"/>
    <col min="8" max="8" width="17.1083333333333" style="3" customWidth="1"/>
    <col min="9" max="16384" width="9" style="3"/>
  </cols>
  <sheetData>
    <row r="1" ht="57" spans="1:8">
      <c r="A1" s="4" t="s">
        <v>186</v>
      </c>
      <c r="B1" s="4" t="s">
        <v>187</v>
      </c>
      <c r="C1" s="4" t="s">
        <v>188</v>
      </c>
      <c r="D1" s="4" t="s">
        <v>189</v>
      </c>
      <c r="E1" s="4" t="s">
        <v>190</v>
      </c>
      <c r="F1" s="4" t="s">
        <v>191</v>
      </c>
      <c r="G1" s="4" t="s">
        <v>192</v>
      </c>
      <c r="H1" s="4" t="s">
        <v>193</v>
      </c>
    </row>
    <row r="2" spans="1:8">
      <c r="A2" s="5" t="s">
        <v>10</v>
      </c>
      <c r="B2" s="6">
        <v>1</v>
      </c>
      <c r="C2" s="6">
        <v>2</v>
      </c>
      <c r="D2" s="6">
        <v>2</v>
      </c>
      <c r="E2" s="6">
        <v>2</v>
      </c>
      <c r="F2" s="6">
        <v>2</v>
      </c>
      <c r="G2" s="8">
        <v>2</v>
      </c>
      <c r="H2" s="8">
        <v>3</v>
      </c>
    </row>
    <row r="3" spans="1:8">
      <c r="A3" s="5" t="s">
        <v>11</v>
      </c>
      <c r="B3" s="6" t="s">
        <v>194</v>
      </c>
      <c r="C3" s="6" t="s">
        <v>195</v>
      </c>
      <c r="D3" s="6" t="s">
        <v>196</v>
      </c>
      <c r="E3" s="6" t="s">
        <v>197</v>
      </c>
      <c r="F3" s="6" t="s">
        <v>198</v>
      </c>
      <c r="G3" s="8" t="s">
        <v>199</v>
      </c>
      <c r="H3" s="8" t="s">
        <v>200</v>
      </c>
    </row>
    <row r="4" spans="1:8">
      <c r="A4" s="5" t="s">
        <v>21</v>
      </c>
      <c r="B4" s="6" t="s">
        <v>22</v>
      </c>
      <c r="C4" s="6" t="s">
        <v>55</v>
      </c>
      <c r="D4" s="6" t="s">
        <v>55</v>
      </c>
      <c r="E4" s="6" t="s">
        <v>55</v>
      </c>
      <c r="F4" s="6" t="s">
        <v>23</v>
      </c>
      <c r="G4" s="6" t="s">
        <v>201</v>
      </c>
      <c r="H4" s="6" t="s">
        <v>22</v>
      </c>
    </row>
    <row r="5" ht="24" spans="1:7">
      <c r="A5" s="3">
        <v>1</v>
      </c>
      <c r="B5" s="9">
        <v>7001</v>
      </c>
      <c r="C5" s="9" t="s">
        <v>202</v>
      </c>
      <c r="D5" s="9" t="s">
        <v>203</v>
      </c>
      <c r="E5" s="9" t="s">
        <v>202</v>
      </c>
      <c r="F5" s="9" t="s">
        <v>204</v>
      </c>
      <c r="G5" s="3" t="s">
        <v>205</v>
      </c>
    </row>
    <row r="6" ht="36" spans="1:7">
      <c r="A6" s="3">
        <v>1</v>
      </c>
      <c r="B6" s="9">
        <v>7002</v>
      </c>
      <c r="C6" s="9" t="s">
        <v>206</v>
      </c>
      <c r="D6" s="9" t="s">
        <v>207</v>
      </c>
      <c r="E6" s="9" t="s">
        <v>206</v>
      </c>
      <c r="F6" s="9" t="s">
        <v>208</v>
      </c>
      <c r="G6" s="3" t="s">
        <v>205</v>
      </c>
    </row>
    <row r="7" spans="1:7">
      <c r="A7" s="3">
        <v>1</v>
      </c>
      <c r="B7" s="9">
        <v>7003</v>
      </c>
      <c r="C7" s="9" t="s">
        <v>209</v>
      </c>
      <c r="D7" s="9" t="s">
        <v>210</v>
      </c>
      <c r="E7" s="9" t="s">
        <v>209</v>
      </c>
      <c r="F7" s="9" t="s">
        <v>211</v>
      </c>
      <c r="G7" s="3" t="s">
        <v>205</v>
      </c>
    </row>
    <row r="8" spans="1:7">
      <c r="A8" s="3">
        <v>1</v>
      </c>
      <c r="B8" s="9">
        <v>7006</v>
      </c>
      <c r="C8" s="9" t="s">
        <v>212</v>
      </c>
      <c r="D8" s="9" t="s">
        <v>210</v>
      </c>
      <c r="E8" s="9" t="s">
        <v>212</v>
      </c>
      <c r="F8" s="9" t="s">
        <v>213</v>
      </c>
      <c r="G8" s="3" t="s">
        <v>205</v>
      </c>
    </row>
    <row r="9" spans="1:7">
      <c r="A9" s="3">
        <v>1</v>
      </c>
      <c r="B9" s="9">
        <v>7009</v>
      </c>
      <c r="C9" s="9" t="s">
        <v>214</v>
      </c>
      <c r="D9" s="9" t="s">
        <v>210</v>
      </c>
      <c r="E9" s="9" t="s">
        <v>214</v>
      </c>
      <c r="F9" s="9" t="s">
        <v>215</v>
      </c>
      <c r="G9" s="3" t="s">
        <v>205</v>
      </c>
    </row>
    <row r="10" spans="1:7">
      <c r="A10" s="3">
        <v>1</v>
      </c>
      <c r="B10" s="9">
        <v>7010</v>
      </c>
      <c r="C10" s="9" t="s">
        <v>216</v>
      </c>
      <c r="D10" s="9" t="s">
        <v>217</v>
      </c>
      <c r="E10" s="9" t="s">
        <v>216</v>
      </c>
      <c r="F10" s="9" t="s">
        <v>218</v>
      </c>
      <c r="G10" s="3" t="s">
        <v>205</v>
      </c>
    </row>
    <row r="11" spans="1:7">
      <c r="A11" s="3">
        <v>1</v>
      </c>
      <c r="B11" s="10">
        <v>8001</v>
      </c>
      <c r="C11" s="10" t="s">
        <v>219</v>
      </c>
      <c r="D11" s="10" t="s">
        <v>220</v>
      </c>
      <c r="E11" s="10" t="s">
        <v>219</v>
      </c>
      <c r="F11" s="10" t="s">
        <v>137</v>
      </c>
      <c r="G11" s="3" t="s">
        <v>205</v>
      </c>
    </row>
    <row r="12" ht="24" spans="1:7">
      <c r="A12" s="3">
        <v>1</v>
      </c>
      <c r="B12" s="10">
        <v>8002</v>
      </c>
      <c r="C12" s="10" t="s">
        <v>221</v>
      </c>
      <c r="D12" s="10" t="s">
        <v>222</v>
      </c>
      <c r="E12" s="10" t="s">
        <v>221</v>
      </c>
      <c r="F12" s="10" t="s">
        <v>223</v>
      </c>
      <c r="G12" s="3" t="s">
        <v>205</v>
      </c>
    </row>
    <row r="13" spans="1:7">
      <c r="A13" s="3">
        <v>1</v>
      </c>
      <c r="B13" s="10">
        <v>8003</v>
      </c>
      <c r="C13" s="10" t="s">
        <v>224</v>
      </c>
      <c r="D13" s="10" t="s">
        <v>225</v>
      </c>
      <c r="E13" s="10" t="s">
        <v>224</v>
      </c>
      <c r="F13" s="10" t="s">
        <v>226</v>
      </c>
      <c r="G13" s="3" t="s">
        <v>205</v>
      </c>
    </row>
    <row r="14" ht="36" spans="1:7">
      <c r="A14" s="3">
        <v>1</v>
      </c>
      <c r="B14" s="10">
        <v>8004</v>
      </c>
      <c r="C14" s="10" t="s">
        <v>227</v>
      </c>
      <c r="D14" s="10" t="s">
        <v>228</v>
      </c>
      <c r="E14" s="10" t="s">
        <v>229</v>
      </c>
      <c r="F14" s="10" t="s">
        <v>230</v>
      </c>
      <c r="G14" s="3" t="s">
        <v>205</v>
      </c>
    </row>
    <row r="15" ht="24" spans="1:7">
      <c r="A15" s="3">
        <v>1</v>
      </c>
      <c r="B15" s="10">
        <v>8005</v>
      </c>
      <c r="C15" s="10" t="s">
        <v>231</v>
      </c>
      <c r="D15" s="10" t="s">
        <v>232</v>
      </c>
      <c r="E15" s="10" t="s">
        <v>233</v>
      </c>
      <c r="F15" s="10" t="s">
        <v>234</v>
      </c>
      <c r="G15" s="3" t="s">
        <v>205</v>
      </c>
    </row>
    <row r="16" ht="24" spans="1:7">
      <c r="A16" s="3">
        <v>1</v>
      </c>
      <c r="B16" s="10">
        <v>8006</v>
      </c>
      <c r="C16" s="10" t="s">
        <v>235</v>
      </c>
      <c r="D16" s="10" t="s">
        <v>236</v>
      </c>
      <c r="E16" s="10" t="s">
        <v>237</v>
      </c>
      <c r="F16" s="10" t="s">
        <v>238</v>
      </c>
      <c r="G16" s="3" t="s">
        <v>205</v>
      </c>
    </row>
    <row r="17" ht="48" spans="1:8">
      <c r="A17" s="7">
        <v>1</v>
      </c>
      <c r="B17" s="10">
        <v>8007</v>
      </c>
      <c r="C17" s="10" t="s">
        <v>239</v>
      </c>
      <c r="D17" s="10" t="s">
        <v>239</v>
      </c>
      <c r="E17" s="10" t="s">
        <v>240</v>
      </c>
      <c r="F17" s="10" t="s">
        <v>241</v>
      </c>
      <c r="G17" s="3" t="s">
        <v>205</v>
      </c>
      <c r="H17" s="3">
        <v>50</v>
      </c>
    </row>
    <row r="18" spans="1:7">
      <c r="A18" s="3">
        <v>1</v>
      </c>
      <c r="B18" s="11">
        <v>9001</v>
      </c>
      <c r="C18" s="11" t="s">
        <v>242</v>
      </c>
      <c r="D18" s="11" t="s">
        <v>243</v>
      </c>
      <c r="E18" s="11" t="s">
        <v>242</v>
      </c>
      <c r="F18" s="11" t="s">
        <v>244</v>
      </c>
      <c r="G18" s="3" t="s">
        <v>205</v>
      </c>
    </row>
    <row r="19" spans="1:7">
      <c r="A19" s="3">
        <v>1</v>
      </c>
      <c r="B19" s="11">
        <v>9002</v>
      </c>
      <c r="C19" s="11" t="s">
        <v>245</v>
      </c>
      <c r="D19" s="11" t="s">
        <v>246</v>
      </c>
      <c r="E19" s="11" t="s">
        <v>245</v>
      </c>
      <c r="F19" s="11" t="s">
        <v>247</v>
      </c>
      <c r="G19" s="3" t="s">
        <v>205</v>
      </c>
    </row>
    <row r="22" ht="24" spans="1:8">
      <c r="A22" s="3">
        <v>1</v>
      </c>
      <c r="B22" s="9">
        <v>1</v>
      </c>
      <c r="C22" s="9" t="s">
        <v>248</v>
      </c>
      <c r="D22" s="9" t="s">
        <v>249</v>
      </c>
      <c r="E22" s="9" t="s">
        <v>250</v>
      </c>
      <c r="F22" s="9" t="s">
        <v>251</v>
      </c>
      <c r="G22" s="3" t="s">
        <v>205</v>
      </c>
      <c r="H22" s="3">
        <v>2</v>
      </c>
    </row>
    <row r="23" ht="36" spans="1:7">
      <c r="A23" s="3">
        <v>1</v>
      </c>
      <c r="B23" s="9">
        <v>2</v>
      </c>
      <c r="C23" s="9" t="s">
        <v>252</v>
      </c>
      <c r="D23" s="9" t="s">
        <v>249</v>
      </c>
      <c r="E23" s="9" t="s">
        <v>253</v>
      </c>
      <c r="F23" s="9" t="s">
        <v>254</v>
      </c>
      <c r="G23" s="3" t="s">
        <v>205</v>
      </c>
    </row>
    <row r="25" ht="24" spans="1:8">
      <c r="A25" s="3">
        <v>1</v>
      </c>
      <c r="B25" s="9">
        <v>1</v>
      </c>
      <c r="C25" s="9" t="s">
        <v>248</v>
      </c>
      <c r="D25" s="9" t="s">
        <v>249</v>
      </c>
      <c r="E25" s="9" t="s">
        <v>250</v>
      </c>
      <c r="F25" s="9" t="s">
        <v>251</v>
      </c>
      <c r="G25" s="3" t="s">
        <v>205</v>
      </c>
      <c r="H25" s="3">
        <v>2</v>
      </c>
    </row>
    <row r="27" spans="1:8">
      <c r="A27" s="3">
        <v>1</v>
      </c>
      <c r="B27" s="12">
        <v>10001</v>
      </c>
      <c r="C27" s="13" t="s">
        <v>255</v>
      </c>
      <c r="D27" s="13" t="s">
        <v>255</v>
      </c>
      <c r="F27" s="12" t="s">
        <v>256</v>
      </c>
      <c r="G27" s="3" t="s">
        <v>205</v>
      </c>
      <c r="H27" s="3">
        <v>10</v>
      </c>
    </row>
    <row r="28" spans="1:8">
      <c r="A28" s="3">
        <v>1</v>
      </c>
      <c r="B28" s="12">
        <v>10003</v>
      </c>
      <c r="C28" s="14" t="s">
        <v>257</v>
      </c>
      <c r="D28" s="14" t="s">
        <v>257</v>
      </c>
      <c r="E28" s="12"/>
      <c r="F28" s="12" t="s">
        <v>258</v>
      </c>
      <c r="G28" s="3" t="s">
        <v>205</v>
      </c>
      <c r="H28" s="3">
        <v>10</v>
      </c>
    </row>
    <row r="29" spans="1:8">
      <c r="A29" s="3">
        <v>1</v>
      </c>
      <c r="B29" s="12">
        <v>10004</v>
      </c>
      <c r="C29" s="14" t="s">
        <v>259</v>
      </c>
      <c r="D29" s="14" t="s">
        <v>259</v>
      </c>
      <c r="F29" s="12" t="s">
        <v>260</v>
      </c>
      <c r="G29" s="3" t="s">
        <v>205</v>
      </c>
      <c r="H29" s="3">
        <v>10</v>
      </c>
    </row>
    <row r="30" spans="1:8">
      <c r="A30" s="3">
        <v>1</v>
      </c>
      <c r="B30" s="12">
        <v>10005</v>
      </c>
      <c r="C30" s="14" t="s">
        <v>261</v>
      </c>
      <c r="D30" s="14" t="s">
        <v>261</v>
      </c>
      <c r="F30" s="12" t="s">
        <v>262</v>
      </c>
      <c r="G30" s="3" t="s">
        <v>205</v>
      </c>
      <c r="H30" s="3">
        <v>10</v>
      </c>
    </row>
    <row r="31" spans="1:8">
      <c r="A31" s="3">
        <v>1</v>
      </c>
      <c r="B31" s="12">
        <v>10006</v>
      </c>
      <c r="C31" s="12" t="s">
        <v>263</v>
      </c>
      <c r="D31" s="12" t="s">
        <v>263</v>
      </c>
      <c r="F31" s="12" t="s">
        <v>264</v>
      </c>
      <c r="G31" s="3" t="s">
        <v>205</v>
      </c>
      <c r="H31" s="3">
        <v>10</v>
      </c>
    </row>
    <row r="32" spans="1:8">
      <c r="A32" s="3">
        <v>1</v>
      </c>
      <c r="B32" s="12">
        <v>10007</v>
      </c>
      <c r="C32" s="12" t="s">
        <v>265</v>
      </c>
      <c r="D32" s="12" t="s">
        <v>265</v>
      </c>
      <c r="F32" s="12" t="s">
        <v>266</v>
      </c>
      <c r="G32" s="3" t="s">
        <v>205</v>
      </c>
      <c r="H32" s="3">
        <v>10</v>
      </c>
    </row>
    <row r="33" spans="1:8">
      <c r="A33" s="3">
        <v>1</v>
      </c>
      <c r="B33" s="12">
        <v>10008</v>
      </c>
      <c r="C33" s="12" t="s">
        <v>267</v>
      </c>
      <c r="D33" s="12" t="s">
        <v>267</v>
      </c>
      <c r="F33" s="12" t="s">
        <v>268</v>
      </c>
      <c r="G33" s="3" t="s">
        <v>205</v>
      </c>
      <c r="H33" s="3">
        <v>10</v>
      </c>
    </row>
    <row r="34" spans="1:8">
      <c r="A34" s="3">
        <v>1</v>
      </c>
      <c r="B34" s="12">
        <v>10009</v>
      </c>
      <c r="C34" s="13" t="s">
        <v>269</v>
      </c>
      <c r="D34" s="13" t="s">
        <v>269</v>
      </c>
      <c r="F34" s="12" t="s">
        <v>270</v>
      </c>
      <c r="G34" s="3" t="s">
        <v>205</v>
      </c>
      <c r="H34" s="3">
        <v>10</v>
      </c>
    </row>
    <row r="35" spans="1:8">
      <c r="A35" s="3">
        <v>1</v>
      </c>
      <c r="B35" s="12">
        <v>10019</v>
      </c>
      <c r="C35" s="14" t="s">
        <v>271</v>
      </c>
      <c r="D35" s="14" t="s">
        <v>271</v>
      </c>
      <c r="F35" s="12" t="s">
        <v>272</v>
      </c>
      <c r="G35" s="3" t="s">
        <v>205</v>
      </c>
      <c r="H35" s="3">
        <v>10</v>
      </c>
    </row>
    <row r="36" spans="1:8">
      <c r="A36" s="3">
        <v>1</v>
      </c>
      <c r="B36" s="12">
        <v>10020</v>
      </c>
      <c r="C36" s="14" t="s">
        <v>273</v>
      </c>
      <c r="D36" s="14" t="s">
        <v>273</v>
      </c>
      <c r="F36" s="12" t="s">
        <v>274</v>
      </c>
      <c r="G36" s="3" t="s">
        <v>205</v>
      </c>
      <c r="H36" s="3">
        <v>10</v>
      </c>
    </row>
    <row r="37" spans="1:8">
      <c r="A37" s="3">
        <v>1</v>
      </c>
      <c r="B37" s="12">
        <v>10023</v>
      </c>
      <c r="C37" s="13" t="s">
        <v>275</v>
      </c>
      <c r="D37" s="13" t="s">
        <v>275</v>
      </c>
      <c r="F37" s="12" t="s">
        <v>276</v>
      </c>
      <c r="G37" s="3" t="s">
        <v>205</v>
      </c>
      <c r="H37" s="3">
        <v>10</v>
      </c>
    </row>
    <row r="38" spans="1:8">
      <c r="A38" s="3">
        <v>1</v>
      </c>
      <c r="B38" s="12">
        <v>10024</v>
      </c>
      <c r="C38" s="13" t="s">
        <v>277</v>
      </c>
      <c r="D38" s="13" t="s">
        <v>277</v>
      </c>
      <c r="F38" s="12" t="s">
        <v>278</v>
      </c>
      <c r="G38" s="3" t="s">
        <v>205</v>
      </c>
      <c r="H38" s="3">
        <v>10</v>
      </c>
    </row>
    <row r="39" spans="1:8">
      <c r="A39" s="3">
        <v>1</v>
      </c>
      <c r="B39" s="12">
        <v>10025</v>
      </c>
      <c r="C39" s="12" t="s">
        <v>279</v>
      </c>
      <c r="D39" s="12" t="s">
        <v>279</v>
      </c>
      <c r="F39" s="12" t="s">
        <v>280</v>
      </c>
      <c r="G39" s="3" t="s">
        <v>205</v>
      </c>
      <c r="H39" s="3">
        <v>10</v>
      </c>
    </row>
    <row r="40" spans="1:8">
      <c r="A40" s="3">
        <v>1</v>
      </c>
      <c r="B40" s="12">
        <v>10031</v>
      </c>
      <c r="C40" s="12" t="s">
        <v>281</v>
      </c>
      <c r="D40" s="12" t="s">
        <v>281</v>
      </c>
      <c r="F40" s="12" t="s">
        <v>282</v>
      </c>
      <c r="G40" s="3" t="s">
        <v>205</v>
      </c>
      <c r="H40" s="3">
        <v>10</v>
      </c>
    </row>
  </sheetData>
  <dataValidations count="1">
    <dataValidation type="list" allowBlank="1" showInputMessage="1" showErrorMessage="1" sqref="B4:H4">
      <formula1>数据类型!$B$2:$B$56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1"/>
  <sheetViews>
    <sheetView zoomScale="55" zoomScaleNormal="55" workbookViewId="0">
      <selection activeCell="K88" sqref="K88"/>
    </sheetView>
  </sheetViews>
  <sheetFormatPr defaultColWidth="9" defaultRowHeight="14.25" outlineLevelCol="5"/>
  <cols>
    <col min="1" max="1" width="22.6083333333333" style="3" customWidth="1"/>
    <col min="2" max="2" width="24.2666666666667" style="3" customWidth="1"/>
    <col min="3" max="3" width="18.875" style="3" customWidth="1"/>
    <col min="4" max="4" width="18.75" style="3" customWidth="1"/>
    <col min="5" max="5" width="14.675" style="3" customWidth="1"/>
    <col min="6" max="6" width="19" customWidth="1"/>
  </cols>
  <sheetData>
    <row r="1" ht="42.75" spans="1:6">
      <c r="A1" s="4" t="s">
        <v>283</v>
      </c>
      <c r="B1" s="4" t="s">
        <v>284</v>
      </c>
      <c r="C1" s="4" t="s">
        <v>188</v>
      </c>
      <c r="D1" s="4" t="s">
        <v>285</v>
      </c>
      <c r="E1" s="4" t="s">
        <v>188</v>
      </c>
      <c r="F1" s="4" t="s">
        <v>286</v>
      </c>
    </row>
    <row r="2" spans="1:6">
      <c r="A2" s="5" t="s">
        <v>10</v>
      </c>
      <c r="B2" s="6">
        <v>1</v>
      </c>
      <c r="C2" s="6">
        <v>0</v>
      </c>
      <c r="D2" s="6">
        <v>2</v>
      </c>
      <c r="E2" s="6">
        <v>2</v>
      </c>
      <c r="F2" s="6">
        <v>3</v>
      </c>
    </row>
    <row r="3" spans="1:6">
      <c r="A3" s="5" t="s">
        <v>11</v>
      </c>
      <c r="B3" s="6" t="s">
        <v>287</v>
      </c>
      <c r="C3" s="6" t="s">
        <v>195</v>
      </c>
      <c r="D3" s="6" t="s">
        <v>288</v>
      </c>
      <c r="E3" s="6" t="s">
        <v>195</v>
      </c>
      <c r="F3" s="6" t="s">
        <v>289</v>
      </c>
    </row>
    <row r="4" spans="1:6">
      <c r="A4" s="5" t="s">
        <v>21</v>
      </c>
      <c r="B4" s="6" t="s">
        <v>22</v>
      </c>
      <c r="C4" s="6" t="s">
        <v>55</v>
      </c>
      <c r="D4" s="6" t="s">
        <v>55</v>
      </c>
      <c r="E4" s="6" t="s">
        <v>55</v>
      </c>
      <c r="F4" s="6" t="s">
        <v>290</v>
      </c>
    </row>
    <row r="5" ht="51" spans="1:6">
      <c r="A5" s="3">
        <v>1</v>
      </c>
      <c r="B5" s="3">
        <v>1</v>
      </c>
      <c r="C5" s="3" t="s">
        <v>291</v>
      </c>
      <c r="D5" s="3" t="s">
        <v>291</v>
      </c>
      <c r="E5" s="3" t="s">
        <v>291</v>
      </c>
      <c r="F5" t="str">
        <f>_xlfn.DISPIMG("ID_23117829C72A4D1EB611C6413ABDE057",1)</f>
        <v>=DISPIMG("ID_23117829C72A4D1EB611C6413ABDE057",1)</v>
      </c>
    </row>
    <row r="6" ht="51" spans="1:6">
      <c r="A6" s="3">
        <v>1</v>
      </c>
      <c r="B6" s="3">
        <v>2</v>
      </c>
      <c r="C6" s="3" t="s">
        <v>292</v>
      </c>
      <c r="D6" s="3" t="s">
        <v>292</v>
      </c>
      <c r="E6" s="3" t="s">
        <v>292</v>
      </c>
      <c r="F6" t="str">
        <f>_xlfn.DISPIMG("ID_9AEBCD3B6BDD45A680E647244E376B90",1)</f>
        <v>=DISPIMG("ID_9AEBCD3B6BDD45A680E647244E376B90",1)</v>
      </c>
    </row>
    <row r="7" ht="51" spans="1:6">
      <c r="A7" s="3">
        <v>1</v>
      </c>
      <c r="B7" s="3">
        <v>3</v>
      </c>
      <c r="C7" s="3" t="s">
        <v>293</v>
      </c>
      <c r="D7" s="3" t="s">
        <v>293</v>
      </c>
      <c r="E7" s="3" t="s">
        <v>293</v>
      </c>
      <c r="F7" t="str">
        <f>_xlfn.DISPIMG("ID_E7E867ACD9744375AB976A4A614FB71B",1)</f>
        <v>=DISPIMG("ID_E7E867ACD9744375AB976A4A614FB71B",1)</v>
      </c>
    </row>
    <row r="8" ht="51" spans="1:6">
      <c r="A8" s="3">
        <v>1</v>
      </c>
      <c r="B8" s="3">
        <v>4</v>
      </c>
      <c r="C8" s="3" t="s">
        <v>294</v>
      </c>
      <c r="D8" s="3" t="s">
        <v>294</v>
      </c>
      <c r="E8" s="3" t="s">
        <v>294</v>
      </c>
      <c r="F8" t="str">
        <f>_xlfn.DISPIMG("ID_46417E94611C48BD8423CA81D050314A",1)</f>
        <v>=DISPIMG("ID_46417E94611C48BD8423CA81D050314A",1)</v>
      </c>
    </row>
    <row r="9" ht="51" spans="1:6">
      <c r="A9" s="3">
        <v>1</v>
      </c>
      <c r="B9" s="3">
        <v>5</v>
      </c>
      <c r="C9" s="3" t="s">
        <v>295</v>
      </c>
      <c r="D9" s="3" t="s">
        <v>295</v>
      </c>
      <c r="E9" s="3" t="s">
        <v>295</v>
      </c>
      <c r="F9" t="str">
        <f>_xlfn.DISPIMG("ID_6DA239E6E1AA43FC9791BAB0D140E412",1)</f>
        <v>=DISPIMG("ID_6DA239E6E1AA43FC9791BAB0D140E412",1)</v>
      </c>
    </row>
    <row r="10" ht="51" spans="1:6">
      <c r="A10" s="3">
        <v>1</v>
      </c>
      <c r="B10" s="3">
        <v>6</v>
      </c>
      <c r="C10" s="3" t="s">
        <v>296</v>
      </c>
      <c r="D10" s="3" t="s">
        <v>296</v>
      </c>
      <c r="E10" s="3" t="s">
        <v>296</v>
      </c>
      <c r="F10" t="str">
        <f>_xlfn.DISPIMG("ID_37153458CCA041888A6B8231417BA062",1)</f>
        <v>=DISPIMG("ID_37153458CCA041888A6B8231417BA062",1)</v>
      </c>
    </row>
    <row r="11" ht="113.3" spans="1:6">
      <c r="A11" s="3">
        <v>1</v>
      </c>
      <c r="B11" s="7">
        <v>7</v>
      </c>
      <c r="C11" s="3" t="s">
        <v>297</v>
      </c>
      <c r="D11" s="3" t="s">
        <v>297</v>
      </c>
      <c r="E11" s="3" t="s">
        <v>297</v>
      </c>
      <c r="F11" t="str">
        <f>_xlfn.DISPIMG("ID_37153458CCA041888A6B8231417BA062",1)</f>
        <v>=DISPIMG("ID_37153458CCA041888A6B8231417BA062",1)</v>
      </c>
    </row>
  </sheetData>
  <dataValidations count="1">
    <dataValidation type="list" allowBlank="1" showInputMessage="1" showErrorMessage="1" sqref="B4:F4">
      <formula1>数据类型!$B$2:$B$56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8"/>
  <sheetViews>
    <sheetView workbookViewId="0">
      <selection activeCell="B63" sqref="B63"/>
    </sheetView>
  </sheetViews>
  <sheetFormatPr defaultColWidth="9" defaultRowHeight="13.5" outlineLevelCol="4"/>
  <cols>
    <col min="1" max="2" width="13.75" customWidth="1"/>
    <col min="3" max="3" width="10.375" customWidth="1"/>
    <col min="4" max="4" width="129.375" customWidth="1"/>
    <col min="5" max="5" width="28.25" customWidth="1"/>
  </cols>
  <sheetData>
    <row r="1" spans="1:5">
      <c r="A1" s="1" t="s">
        <v>298</v>
      </c>
      <c r="B1" s="1" t="s">
        <v>299</v>
      </c>
      <c r="C1" s="1" t="s">
        <v>300</v>
      </c>
      <c r="D1" s="1" t="s">
        <v>301</v>
      </c>
      <c r="E1" s="1" t="s">
        <v>302</v>
      </c>
    </row>
    <row r="2" spans="1:5">
      <c r="A2" s="2">
        <v>1</v>
      </c>
      <c r="B2" s="2" t="s">
        <v>303</v>
      </c>
      <c r="C2" s="2" t="s">
        <v>304</v>
      </c>
      <c r="D2" s="2" t="s">
        <v>305</v>
      </c>
      <c r="E2" s="2" t="s">
        <v>306</v>
      </c>
    </row>
    <row r="3" spans="1:5">
      <c r="A3" s="2">
        <v>2</v>
      </c>
      <c r="B3" s="2" t="s">
        <v>307</v>
      </c>
      <c r="C3" s="2" t="s">
        <v>308</v>
      </c>
      <c r="D3" s="2" t="s">
        <v>309</v>
      </c>
      <c r="E3" s="2" t="s">
        <v>310</v>
      </c>
    </row>
    <row r="4" spans="1:5">
      <c r="A4" s="2">
        <v>3</v>
      </c>
      <c r="B4" s="2" t="s">
        <v>22</v>
      </c>
      <c r="C4" s="2" t="s">
        <v>308</v>
      </c>
      <c r="D4" s="2" t="s">
        <v>311</v>
      </c>
      <c r="E4" s="2" t="s">
        <v>312</v>
      </c>
    </row>
    <row r="5" spans="1:5">
      <c r="A5" s="2">
        <v>4</v>
      </c>
      <c r="B5" s="2" t="s">
        <v>313</v>
      </c>
      <c r="C5" s="2" t="s">
        <v>308</v>
      </c>
      <c r="D5" s="2" t="s">
        <v>314</v>
      </c>
      <c r="E5" s="2" t="s">
        <v>315</v>
      </c>
    </row>
    <row r="6" spans="1:5">
      <c r="A6" s="2">
        <v>5</v>
      </c>
      <c r="B6" s="2" t="s">
        <v>316</v>
      </c>
      <c r="C6" s="2" t="s">
        <v>308</v>
      </c>
      <c r="D6" s="2" t="s">
        <v>317</v>
      </c>
      <c r="E6" s="2" t="s">
        <v>318</v>
      </c>
    </row>
    <row r="7" spans="1:5">
      <c r="A7" s="2">
        <v>6</v>
      </c>
      <c r="B7" s="2" t="s">
        <v>55</v>
      </c>
      <c r="C7" s="2"/>
      <c r="D7" s="2" t="s">
        <v>319</v>
      </c>
      <c r="E7" s="2" t="s">
        <v>320</v>
      </c>
    </row>
    <row r="8" spans="1:5">
      <c r="A8" s="2">
        <v>7</v>
      </c>
      <c r="B8" s="2" t="s">
        <v>321</v>
      </c>
      <c r="C8" s="2" t="s">
        <v>322</v>
      </c>
      <c r="D8" s="2" t="s">
        <v>323</v>
      </c>
      <c r="E8" s="2" t="s">
        <v>324</v>
      </c>
    </row>
    <row r="9" spans="1:5">
      <c r="A9" s="2">
        <v>8</v>
      </c>
      <c r="B9" s="2" t="s">
        <v>325</v>
      </c>
      <c r="C9" s="2" t="s">
        <v>322</v>
      </c>
      <c r="D9" s="2" t="s">
        <v>326</v>
      </c>
      <c r="E9" s="2" t="s">
        <v>327</v>
      </c>
    </row>
    <row r="10" spans="1:5">
      <c r="A10" s="2">
        <v>9</v>
      </c>
      <c r="B10" s="2" t="s">
        <v>24</v>
      </c>
      <c r="C10" s="2" t="s">
        <v>322</v>
      </c>
      <c r="D10" s="2" t="s">
        <v>328</v>
      </c>
      <c r="E10" s="2" t="s">
        <v>329</v>
      </c>
    </row>
    <row r="11" spans="1:5">
      <c r="A11" s="2">
        <v>10</v>
      </c>
      <c r="B11" s="2" t="s">
        <v>330</v>
      </c>
      <c r="C11" s="2" t="s">
        <v>322</v>
      </c>
      <c r="D11" s="2" t="s">
        <v>331</v>
      </c>
      <c r="E11" s="2" t="s">
        <v>332</v>
      </c>
    </row>
    <row r="12" spans="1:5">
      <c r="A12" s="2">
        <v>11</v>
      </c>
      <c r="B12" s="2" t="s">
        <v>333</v>
      </c>
      <c r="C12" s="2" t="s">
        <v>322</v>
      </c>
      <c r="D12" s="2" t="s">
        <v>334</v>
      </c>
      <c r="E12" s="2" t="s">
        <v>335</v>
      </c>
    </row>
    <row r="13" spans="1:4">
      <c r="A13" s="2">
        <v>12</v>
      </c>
      <c r="B13" s="2" t="s">
        <v>336</v>
      </c>
      <c r="C13" s="2" t="s">
        <v>322</v>
      </c>
      <c r="D13" s="2" t="s">
        <v>337</v>
      </c>
    </row>
    <row r="14" spans="1:3">
      <c r="A14" s="2">
        <v>13</v>
      </c>
      <c r="B14" s="2" t="s">
        <v>338</v>
      </c>
      <c r="C14" s="2" t="s">
        <v>339</v>
      </c>
    </row>
    <row r="15" spans="1:3">
      <c r="A15" s="2">
        <v>14</v>
      </c>
      <c r="B15" s="2" t="s">
        <v>340</v>
      </c>
      <c r="C15" s="2" t="s">
        <v>339</v>
      </c>
    </row>
    <row r="16" spans="1:3">
      <c r="A16" s="2">
        <v>15</v>
      </c>
      <c r="B16" s="2" t="s">
        <v>201</v>
      </c>
      <c r="C16" s="2" t="s">
        <v>339</v>
      </c>
    </row>
    <row r="17" spans="1:3">
      <c r="A17" s="2">
        <v>16</v>
      </c>
      <c r="B17" s="2" t="s">
        <v>341</v>
      </c>
      <c r="C17" s="2" t="s">
        <v>339</v>
      </c>
    </row>
    <row r="18" spans="1:3">
      <c r="A18" s="2">
        <v>17</v>
      </c>
      <c r="B18" s="2" t="s">
        <v>342</v>
      </c>
      <c r="C18" s="2" t="s">
        <v>339</v>
      </c>
    </row>
    <row r="19" spans="1:3">
      <c r="A19" s="2">
        <v>18</v>
      </c>
      <c r="B19" s="2" t="s">
        <v>343</v>
      </c>
      <c r="C19" s="2" t="s">
        <v>339</v>
      </c>
    </row>
    <row r="20" spans="1:3">
      <c r="A20" s="2">
        <v>19</v>
      </c>
      <c r="B20" s="2" t="s">
        <v>344</v>
      </c>
      <c r="C20" s="2" t="s">
        <v>322</v>
      </c>
    </row>
    <row r="21" spans="1:3">
      <c r="A21" s="2">
        <v>20</v>
      </c>
      <c r="B21" s="2" t="s">
        <v>345</v>
      </c>
      <c r="C21" s="2" t="s">
        <v>322</v>
      </c>
    </row>
    <row r="22" spans="1:3">
      <c r="A22" s="2">
        <v>21</v>
      </c>
      <c r="B22" s="2" t="s">
        <v>23</v>
      </c>
      <c r="C22" s="2" t="s">
        <v>322</v>
      </c>
    </row>
    <row r="23" spans="1:3">
      <c r="A23" s="2">
        <v>22</v>
      </c>
      <c r="B23" s="2" t="s">
        <v>346</v>
      </c>
      <c r="C23" s="2" t="s">
        <v>322</v>
      </c>
    </row>
    <row r="24" spans="1:3">
      <c r="A24" s="2">
        <v>23</v>
      </c>
      <c r="B24" s="2" t="s">
        <v>347</v>
      </c>
      <c r="C24" s="2" t="s">
        <v>322</v>
      </c>
    </row>
    <row r="25" spans="1:3">
      <c r="A25" s="2">
        <v>24</v>
      </c>
      <c r="B25" s="2" t="s">
        <v>348</v>
      </c>
      <c r="C25" s="2" t="s">
        <v>322</v>
      </c>
    </row>
    <row r="26" spans="1:5">
      <c r="A26" s="2">
        <v>25</v>
      </c>
      <c r="B26" s="2" t="s">
        <v>349</v>
      </c>
      <c r="C26" s="2" t="s">
        <v>350</v>
      </c>
      <c r="D26" s="2" t="s">
        <v>351</v>
      </c>
      <c r="E26" s="2" t="s">
        <v>26</v>
      </c>
    </row>
    <row r="27" spans="1:5">
      <c r="A27" s="2">
        <v>26</v>
      </c>
      <c r="B27" s="2" t="s">
        <v>352</v>
      </c>
      <c r="C27" s="2" t="s">
        <v>353</v>
      </c>
      <c r="D27" s="2" t="s">
        <v>354</v>
      </c>
      <c r="E27" s="2" t="s">
        <v>355</v>
      </c>
    </row>
    <row r="28" spans="1:5">
      <c r="A28" s="2">
        <v>27</v>
      </c>
      <c r="B28" s="2" t="s">
        <v>356</v>
      </c>
      <c r="C28" s="2" t="s">
        <v>322</v>
      </c>
      <c r="D28" s="2" t="s">
        <v>357</v>
      </c>
      <c r="E28" s="2" t="s">
        <v>61</v>
      </c>
    </row>
    <row r="29" spans="1:5">
      <c r="A29" s="2">
        <v>28</v>
      </c>
      <c r="B29" s="2" t="s">
        <v>358</v>
      </c>
      <c r="C29" s="2" t="s">
        <v>322</v>
      </c>
      <c r="D29" s="2" t="s">
        <v>359</v>
      </c>
      <c r="E29" s="2" t="s">
        <v>360</v>
      </c>
    </row>
    <row r="30" spans="1:4">
      <c r="A30" s="2">
        <v>29</v>
      </c>
      <c r="B30" s="2" t="s">
        <v>290</v>
      </c>
      <c r="C30" s="2" t="s">
        <v>361</v>
      </c>
      <c r="D30" s="2" t="s">
        <v>362</v>
      </c>
    </row>
    <row r="31" spans="1:5">
      <c r="A31" s="2">
        <v>30</v>
      </c>
      <c r="B31" s="2" t="s">
        <v>57</v>
      </c>
      <c r="C31" s="2" t="s">
        <v>353</v>
      </c>
      <c r="D31" s="2" t="s">
        <v>363</v>
      </c>
      <c r="E31" s="2" t="s">
        <v>364</v>
      </c>
    </row>
    <row r="32" spans="1:5">
      <c r="A32" s="2">
        <v>31</v>
      </c>
      <c r="B32" s="2" t="s">
        <v>365</v>
      </c>
      <c r="C32" s="2" t="s">
        <v>308</v>
      </c>
      <c r="D32" s="2" t="s">
        <v>366</v>
      </c>
      <c r="E32" s="2" t="s">
        <v>367</v>
      </c>
    </row>
    <row r="33" spans="1:5">
      <c r="A33" s="2">
        <v>32</v>
      </c>
      <c r="B33" s="2" t="s">
        <v>368</v>
      </c>
      <c r="C33" s="2" t="s">
        <v>369</v>
      </c>
      <c r="D33" s="2" t="s">
        <v>370</v>
      </c>
      <c r="E33" s="2" t="s">
        <v>369</v>
      </c>
    </row>
    <row r="34" spans="1:5">
      <c r="A34" s="2">
        <v>33</v>
      </c>
      <c r="B34" s="2" t="s">
        <v>371</v>
      </c>
      <c r="C34" s="2" t="s">
        <v>372</v>
      </c>
      <c r="D34" s="2" t="s">
        <v>373</v>
      </c>
      <c r="E34" s="2" t="s">
        <v>372</v>
      </c>
    </row>
    <row r="35" spans="1:5">
      <c r="A35" s="2">
        <v>34</v>
      </c>
      <c r="B35" s="2" t="s">
        <v>56</v>
      </c>
      <c r="C35" s="2" t="s">
        <v>322</v>
      </c>
      <c r="D35" s="2" t="s">
        <v>374</v>
      </c>
      <c r="E35" s="2" t="s">
        <v>364</v>
      </c>
    </row>
    <row r="36" spans="1:5">
      <c r="A36" s="2">
        <v>35</v>
      </c>
      <c r="B36" s="2" t="s">
        <v>375</v>
      </c>
      <c r="C36" s="2"/>
      <c r="D36" s="2" t="s">
        <v>376</v>
      </c>
      <c r="E36" s="2" t="s">
        <v>377</v>
      </c>
    </row>
    <row r="37" spans="1:4">
      <c r="A37" s="2">
        <v>36</v>
      </c>
      <c r="B37" s="2" t="s">
        <v>378</v>
      </c>
      <c r="C37" s="2"/>
      <c r="D37" s="2" t="s">
        <v>379</v>
      </c>
    </row>
    <row r="38" spans="1:5">
      <c r="A38" s="2">
        <v>37</v>
      </c>
      <c r="B38" s="2" t="s">
        <v>380</v>
      </c>
      <c r="C38" s="2" t="s">
        <v>322</v>
      </c>
      <c r="D38" s="2" t="s">
        <v>381</v>
      </c>
      <c r="E38" s="2" t="s">
        <v>72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cfg_CopyBrush_战役关卡刷怪数据</vt:lpstr>
      <vt:lpstr>cfg_BrushPoint_刷怪点数据</vt:lpstr>
      <vt:lpstr>cfg_WaveBase_波数配置</vt:lpstr>
      <vt:lpstr>cfg_UnitGroupData_单位组配置</vt:lpstr>
      <vt:lpstr>cfg_UnitGroupType_单位组类型</vt:lpstr>
      <vt:lpstr>数据类型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NO</cp:lastModifiedBy>
  <dcterms:created xsi:type="dcterms:W3CDTF">2023-05-12T11:15:00Z</dcterms:created>
  <dcterms:modified xsi:type="dcterms:W3CDTF">2025-10-09T12:38:51Z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EAB0E59D0FDF44CF82D480CC6A5EB29A_12</vt:lpwstr>
  </property>
</Properties>
</file>