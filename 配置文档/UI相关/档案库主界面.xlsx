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45" windowHeight="24855"/>
  </bookViews>
  <sheets>
    <sheet name="cfg_Archival_档案库主界面" sheetId="3" r:id="rId1"/>
    <sheet name="cfg_ArchivalItem_档案库子项" sheetId="4" r:id="rId2"/>
    <sheet name="数据类型" sheetId="2" r:id="rId3"/>
  </sheets>
  <definedNames>
    <definedName name="ExternalData_1" localSheetId="2">数据类型!#REF!</definedName>
    <definedName name="数据类型_Sheet1" localSheetId="2">数据类型!#REF!</definedName>
    <definedName name="连接" localSheetId="2">数据类型!$A$1:$E$38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7643144066845909499875619E307E7" descr="我是什么"/>
        <xdr:cNvPicPr>
          <a:picLocks noChangeAspect="1"/>
        </xdr:cNvPicPr>
      </xdr:nvPicPr>
      <xdr:blipFill>
        <a:blip r:embed="rId1"/>
        <a:stretch>
          <a:fillRect/>
        </a:stretch>
      </xdr:blipFill>
      <xdr:spPr>
        <a:xfrm>
          <a:off x="9166225" y="4391025"/>
          <a:ext cx="571500" cy="1523365"/>
        </a:xfrm>
        <a:prstGeom prst="rect">
          <a:avLst/>
        </a:prstGeom>
      </xdr:spPr>
    </xdr:pic>
  </etc:cellImage>
  <etc:cellImage>
    <xdr:pic>
      <xdr:nvPicPr>
        <xdr:cNvPr id="3" name="ID_130A0325A4B04C0D911ADF88E89DDA07" descr="废弃城市"/>
        <xdr:cNvPicPr>
          <a:picLocks noChangeAspect="1"/>
        </xdr:cNvPicPr>
      </xdr:nvPicPr>
      <xdr:blipFill>
        <a:blip r:embed="rId2"/>
        <a:stretch>
          <a:fillRect/>
        </a:stretch>
      </xdr:blipFill>
      <xdr:spPr>
        <a:xfrm>
          <a:off x="9418955" y="4897755"/>
          <a:ext cx="567690" cy="1528445"/>
        </a:xfrm>
        <a:prstGeom prst="rect">
          <a:avLst/>
        </a:prstGeom>
      </xdr:spPr>
    </xdr:pic>
  </etc:cellImage>
  <etc:cellImage>
    <xdr:pic>
      <xdr:nvPicPr>
        <xdr:cNvPr id="4" name="ID_C46958DFAE624F27B3A2662CFC55E3E1" descr="水晶研究站"/>
        <xdr:cNvPicPr>
          <a:picLocks noChangeAspect="1"/>
        </xdr:cNvPicPr>
      </xdr:nvPicPr>
      <xdr:blipFill>
        <a:blip r:embed="rId3"/>
        <a:stretch>
          <a:fillRect/>
        </a:stretch>
      </xdr:blipFill>
      <xdr:spPr>
        <a:xfrm>
          <a:off x="9479915" y="13328650"/>
          <a:ext cx="569595" cy="1522730"/>
        </a:xfrm>
        <a:prstGeom prst="rect">
          <a:avLst/>
        </a:prstGeom>
      </xdr:spPr>
    </xdr:pic>
  </etc:cellImage>
</etc:cellImages>
</file>

<file path=xl/connections.xml><?xml version="1.0" encoding="utf-8"?>
<connections xmlns="http://schemas.openxmlformats.org/spreadsheetml/2006/main">
  <connection id="1" odcFile="F:\Remnant Afterglow Project\工具\基础配置\数据类型.accdb 数据类型.odc" name="连接" type="1" refreshOnLoad="1" background="1" refreshedVersion="2" saveData="1">
    <dbPr connection="DSN=MS Access Database;DBQ=F:\REMNANT AFTERGLOW PROJECT\工具\基础配置\数据类型.accdb;DefaultDir=F:\REMNANT AFTERGLOW PROJECT\工具\基础配置;DriverId=25;FIL=MS Access;MaxBufferSize=2048;PageTimeout=5;" command="SELECT * FROM `数据类型`  ORDER BY `数据类型编号` ASC" commandType="2"/>
  </connection>
</connections>
</file>

<file path=xl/sharedStrings.xml><?xml version="1.0" encoding="utf-8"?>
<sst xmlns="http://schemas.openxmlformats.org/spreadsheetml/2006/main" count="173" uniqueCount="127">
  <si>
    <t>该表用于配置档案库界面
数据不想填就写 #BASEVALUE</t>
  </si>
  <si>
    <t>主界面势力类型id</t>
  </si>
  <si>
    <t>势力条目名称</t>
  </si>
  <si>
    <t>默认是否解锁</t>
  </si>
  <si>
    <t>子项id列表</t>
  </si>
  <si>
    <t>字段导出设置</t>
  </si>
  <si>
    <t>字段名称</t>
  </si>
  <si>
    <t>ArchivalId</t>
  </si>
  <si>
    <t>Name</t>
  </si>
  <si>
    <t>IsDefine</t>
  </si>
  <si>
    <t>ItemIdList</t>
  </si>
  <si>
    <t>数据类型</t>
  </si>
  <si>
    <t>INT</t>
  </si>
  <si>
    <t>STR</t>
  </si>
  <si>
    <t>BOOL</t>
  </si>
  <si>
    <t>&lt;INT&gt;</t>
  </si>
  <si>
    <t>效果属性</t>
  </si>
  <si>
    <t>1|2|3</t>
  </si>
  <si>
    <t>炮塔</t>
  </si>
  <si>
    <t>敌方单位</t>
  </si>
  <si>
    <t>核心插件</t>
  </si>
  <si>
    <t>机甲</t>
  </si>
  <si>
    <t>道具</t>
  </si>
  <si>
    <t>背景故事</t>
  </si>
  <si>
    <t>档案子项id
id为0表示配置的未知文档</t>
  </si>
  <si>
    <t>内容</t>
  </si>
  <si>
    <t>外部显示图</t>
  </si>
  <si>
    <t>ItemId</t>
  </si>
  <si>
    <t>Content</t>
  </si>
  <si>
    <t>Image</t>
  </si>
  <si>
    <t>PNG</t>
  </si>
  <si>
    <t>我</t>
  </si>
  <si>
    <t xml:space="preserve">    巨兽核心
    开采队所携带智能处理单元，巨兽核心原名“固体开采型作业核心-03”，是控制开采机的计算核心，也是唯一登陆上该星球的开采队设备，开采队在该星球大约部署了150000台开采机，计划在3000年内持续的收集该星球的资源。
    巨兽之名得益于先明文明，他们诞生于恒星危机事件之后，把这些在大地上移动的巨型开采机，称之为巨兽，而开采机的计算核心，也理所当然的被称为巨兽核心。
    开采队在该恒星系内的气态星系上部署了“气体开采型作业核心-05”，“舰桥指挥集群-0545”，“暗物质开采核心-12”，在开采队的数据库中记载，开采队本身没有生产和建造这些核心单元的能力，所有计算核心都是从远在5700光年外的开采中心中生产运输而来。</t>
  </si>
  <si>
    <t>废弃城市</t>
  </si>
  <si>
    <t xml:space="preserve">    废弃城市
    先明已废弃的城市，建立在巨大的空间站残骸之下，空间站残骸能够为城市起到很好的沙尘拦截作用。
    废弃城市之中满是残垣断壁，还有大量爆炸和燃烧的痕迹。
    这些痕迹似乎在诉说着这座城市曾经的辉煌与末日的惨烈。建筑虽然破败，但仍能从其规模与设计中看出先明文明的先进与繁荣。废墟中散落着各种机械零件和未知的科技装置，有些甚至还在微微发光，仿佛在等待着有缘人的发现与重启。
    城市的街道上，偶尔能看到一些被风沙半掩的战车和机甲残骸，它们曾是保卫这座城市免受外敌侵袭的勇士，如今却只能静静地躺在这里，成为历史的见证。而那些曾经居住在这里的人们，他们的去向已成谜，只留下这些空荡荡的房屋和无尽的回忆。
    城市中还潜伏着大量的反抗军机械，他们似乎没有攻击性，自顾自的在废墟城市之中游荡。
    在对城市剩余的计算机进行提取后，总结了以下的报告
-报告-
    拉伦凯斯反抗的浪潮从其他城市中传来，许多被压迫的人们决定孤注一掷加入到反抗军的阵营中，反抗那些高高在上，手中流着平民鲜血的旧日教会，数年的战争让城市化为废墟，天盾残躯虽然在水晶导弹的爆炸中保护了仅剩的城市，但水晶辐射依然让整座城市成为了一座死城。</t>
  </si>
  <si>
    <t>水晶实验室</t>
  </si>
  <si>
    <t>水晶实验室是一座巨大的玻璃圆顶建筑，内部至少可以容纳1000名工作人员同时工作。
水晶实验室中保留着大量的水晶样本，并且有着大量血肉组织痕迹，此处可能存在大量的生物实验，并研究水晶的成分与性质，无论他们最终的实验是否成功，但目前来说他们已经走到了末路之上。
根据水晶实验室中的实验报告说明，水晶是中包含着一种反生物能量，能够在一定程度上破坏生物的灵魂构成，但次元使者体内却含有一定的水晶成分，在战争开始前先明的科学家们仍然没有得出次元使者体内为何会存在水晶的同时自身不会死亡的结果，此地就被废弃了。
玻璃圆顶结构十分坚固，似乎并非先明所制造，在后续的分析中，发现该圆顶是寰星空间站上的观测设备镜头。</t>
  </si>
  <si>
    <t>数据类型编号</t>
  </si>
  <si>
    <t>数据类型名称</t>
  </si>
  <si>
    <t>默认值</t>
  </si>
  <si>
    <t>数据类型描述</t>
  </si>
  <si>
    <t>数据类型示例</t>
  </si>
  <si>
    <t>True</t>
  </si>
  <si>
    <t>布尔值，用于表示 是或者否，True为是，False为否</t>
  </si>
  <si>
    <t>True       False</t>
  </si>
  <si>
    <t>SHORT</t>
  </si>
  <si>
    <t>0</t>
  </si>
  <si>
    <t>短整数类型，用于表示一些比较小的整数 -32768 到 32767，少用</t>
  </si>
  <si>
    <t>11112      -21232</t>
  </si>
  <si>
    <t>整数类型，适合在大多数时候用于保存配置id，-2147483648到2147483647</t>
  </si>
  <si>
    <t>1212312321</t>
  </si>
  <si>
    <t>LONG</t>
  </si>
  <si>
    <t>长整数类型，用于保存大的整数，-9223372036854775808到9223372036854775807</t>
  </si>
  <si>
    <t>52122122111111</t>
  </si>
  <si>
    <t>FLOAT</t>
  </si>
  <si>
    <t>单精度浮点型，整数部分范围很大，小数部分，float的精度为6~7位有效数字，绝对能保证6位小数正常</t>
  </si>
  <si>
    <t>554.1233  622125.1231</t>
  </si>
  <si>
    <t>字符串，用于保存如介绍，描述等文本，通常不必担心长度</t>
  </si>
  <si>
    <t>你好</t>
  </si>
  <si>
    <t>&lt;BOOL&gt;</t>
  </si>
  <si>
    <t>[]</t>
  </si>
  <si>
    <t>布尔值列表，用于保存一个由布尔值组成的列表</t>
  </si>
  <si>
    <t>True|True|False</t>
  </si>
  <si>
    <t>&lt;SHORT&gt;</t>
  </si>
  <si>
    <t>短整数列表，用于保存一个由短整数组成的列表</t>
  </si>
  <si>
    <t>123|121|434|-121</t>
  </si>
  <si>
    <t>整数列表，用于保存一个由整数组成的列表</t>
  </si>
  <si>
    <t>2323232|1212|2343|545</t>
  </si>
  <si>
    <t>&lt;LONG&gt;</t>
  </si>
  <si>
    <t>长整数列表，用于保存一个由长整数组成的列表</t>
  </si>
  <si>
    <t>52122122111111|1223434433</t>
  </si>
  <si>
    <t>&lt;FLOAT&gt;</t>
  </si>
  <si>
    <t>小数列表，用于保存一个由小数组成的列表</t>
  </si>
  <si>
    <t>554.1233|12.12</t>
  </si>
  <si>
    <t>&lt;STR&gt;</t>
  </si>
  <si>
    <t>字符串列表</t>
  </si>
  <si>
    <t>(BOOL)</t>
  </si>
  <si>
    <t>()</t>
  </si>
  <si>
    <t>(SHORT)</t>
  </si>
  <si>
    <t>(INT)</t>
  </si>
  <si>
    <t>(LONG)</t>
  </si>
  <si>
    <t>(FLOAT)</t>
  </si>
  <si>
    <t>(STR)</t>
  </si>
  <si>
    <t>&lt;(BOOL)&gt;</t>
  </si>
  <si>
    <t>&lt;(SHORT)&gt;</t>
  </si>
  <si>
    <t>&lt;(INT)&gt;</t>
  </si>
  <si>
    <t>&lt;(LONG)&gt;</t>
  </si>
  <si>
    <t>&lt;(FLOAT)&gt;</t>
  </si>
  <si>
    <t>&lt;(STR)&gt;</t>
  </si>
  <si>
    <t>LANG</t>
  </si>
  <si>
    <t>KeyBase</t>
  </si>
  <si>
    <t>语言id 是语言配置的id</t>
  </si>
  <si>
    <t>1</t>
  </si>
  <si>
    <t>POINT</t>
  </si>
  <si>
    <t>(0,0)</t>
  </si>
  <si>
    <t>保存小数二维坐标的类型</t>
  </si>
  <si>
    <t>(1.2,3.5)</t>
  </si>
  <si>
    <t>&lt;LANG&gt;</t>
  </si>
  <si>
    <t>语言id列表</t>
  </si>
  <si>
    <t>1|2</t>
  </si>
  <si>
    <t>&lt;POINT&gt;</t>
  </si>
  <si>
    <t>坐标点列表，Vector2的列表，用于保存小数二维坐标列表的类型</t>
  </si>
  <si>
    <t>(1.2,3.5)|(1.4,3.2)</t>
  </si>
  <si>
    <t>null</t>
  </si>
  <si>
    <t>Png图片，通常用于导出散图，导出单元格图片后，放在config\images\下</t>
  </si>
  <si>
    <t>Vector2I</t>
  </si>
  <si>
    <t>整数类型的二维坐标</t>
  </si>
  <si>
    <t>(1,2)</t>
  </si>
  <si>
    <t>ULONG</t>
  </si>
  <si>
    <t>长整数类型，用于保存大的整数，0到18,446,744,073,709,551,615（即2^64 - 1）的非负整数值</t>
  </si>
  <si>
    <t>12312312321</t>
  </si>
  <si>
    <t>RGB</t>
  </si>
  <si>
    <t>(0,0,0)</t>
  </si>
  <si>
    <t>颜色类型rgb (x,x,x) x最大255</t>
  </si>
  <si>
    <t>RGBA</t>
  </si>
  <si>
    <t>(0,0,0,0)</t>
  </si>
  <si>
    <t>颜色类型rgba (x,x,x,x) x最大255</t>
  </si>
  <si>
    <t>&lt;Vector2I&gt;</t>
  </si>
  <si>
    <t>整数类型的整数二维坐标 的列表</t>
  </si>
  <si>
    <t>SequenceMap</t>
  </si>
  <si>
    <t>序列图的json文件名称，记得把对应的图片放在Remnant Afterglow\data\sequence_map文件夹下</t>
  </si>
  <si>
    <t>序列图名称.json</t>
  </si>
  <si>
    <t>BBCode</t>
  </si>
  <si>
    <t>BBCode是一种轻量标记语言，具体填写规则https://docs.godotengine.org/en/latest/tutorials/ui/bbcode_in_richtextlabel.html</t>
  </si>
  <si>
    <t>HashSet&lt;INT&gt;</t>
  </si>
  <si>
    <t>确保唯一的Int列表，c#中的HashSet&lt;int&gt;类型</t>
  </si>
  <si>
    <t>1|2|3|4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</si>
</sst>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name val="宋体"/>
      <charset val="134"/>
      <scheme val="minor"/>
    </font>
    <font>
      <b/>
      <sz val="12"/>
      <name val="宋体"/>
      <charset val="134"/>
    </font>
    <font>
      <b/>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vertical="center"/>
    </xf>
    <xf numFmtId="0" fontId="0" fillId="0" borderId="0" xfId="0" applyNumberFormat="1" applyAlignment="1">
      <alignment vertical="center"/>
    </xf>
    <xf numFmtId="0" fontId="0" fillId="0" borderId="0" xfId="0" applyAlignment="1">
      <alignment horizontal="center" vertical="center"/>
    </xf>
    <xf numFmtId="0" fontId="2" fillId="0" borderId="0" xfId="0" applyFont="1" applyAlignment="1">
      <alignment horizontal="center" vertical="center" wrapText="1"/>
    </xf>
    <xf numFmtId="49" fontId="3"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49"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0" fontId="1" fillId="2" borderId="0" xfId="0" applyFont="1" applyFill="1" applyAlignment="1">
      <alignment horizontal="center" vertical="center"/>
    </xf>
    <xf numFmtId="0" fontId="1"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连接" growShrinkType="overwriteClear" refreshOnLoad="1" connectionId="1" autoFormatId="16" applyNumberFormats="0" applyBorderFormats="0" applyFontFormats="1" applyPatternFormats="1" applyAlignmentFormats="0" applyWidthHeightFormats="0">
  <queryTableRefresh preserveSortFilterLayout="0" nextId="6">
    <queryTableFields count="5">
      <queryTableField id="1" name="数据类型编号"/>
      <queryTableField id="2" name="数据类型名称"/>
      <queryTableField id="3" name="默认值"/>
      <queryTableField id="4" name="数据类型描述"/>
      <queryTableField id="5" name="数据类型示例"/>
    </queryTableFields>
  </queryTableRefresh>
</query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abSelected="1" zoomScale="205" zoomScaleNormal="205" workbookViewId="0">
      <selection activeCell="C8" sqref="C8"/>
    </sheetView>
  </sheetViews>
  <sheetFormatPr defaultColWidth="9" defaultRowHeight="13.5" outlineLevelCol="4"/>
  <cols>
    <col min="1" max="1" width="43.375" style="3" customWidth="1"/>
    <col min="2" max="3" width="20.5" style="3" customWidth="1"/>
    <col min="4" max="4" width="27.75" style="3" customWidth="1"/>
    <col min="5" max="5" width="23.4583333333333" style="3" customWidth="1"/>
    <col min="6" max="6" width="23.4583333333333" customWidth="1"/>
  </cols>
  <sheetData>
    <row r="1" s="13" customFormat="1" ht="57" spans="1:5">
      <c r="A1" s="5" t="s">
        <v>0</v>
      </c>
      <c r="B1" s="7" t="s">
        <v>1</v>
      </c>
      <c r="C1" s="7" t="s">
        <v>2</v>
      </c>
      <c r="D1" s="8" t="s">
        <v>3</v>
      </c>
      <c r="E1" s="13" t="s">
        <v>4</v>
      </c>
    </row>
    <row r="2" s="14" customFormat="1" ht="14.25" spans="1:5">
      <c r="A2" s="9" t="s">
        <v>5</v>
      </c>
      <c r="B2" s="10">
        <v>1</v>
      </c>
      <c r="C2" s="10">
        <v>2</v>
      </c>
      <c r="D2" s="10">
        <v>2</v>
      </c>
      <c r="E2" s="14">
        <v>3</v>
      </c>
    </row>
    <row r="3" s="14" customFormat="1" ht="14.25" spans="1:5">
      <c r="A3" s="9" t="s">
        <v>6</v>
      </c>
      <c r="B3" s="10" t="s">
        <v>7</v>
      </c>
      <c r="C3" s="10" t="s">
        <v>8</v>
      </c>
      <c r="D3" s="10" t="s">
        <v>9</v>
      </c>
      <c r="E3" s="14" t="s">
        <v>10</v>
      </c>
    </row>
    <row r="4" s="14" customFormat="1" ht="14.25" spans="1:5">
      <c r="A4" s="9" t="s">
        <v>11</v>
      </c>
      <c r="B4" s="9" t="s">
        <v>12</v>
      </c>
      <c r="C4" s="9" t="s">
        <v>13</v>
      </c>
      <c r="D4" s="9" t="s">
        <v>14</v>
      </c>
      <c r="E4" s="9" t="s">
        <v>15</v>
      </c>
    </row>
    <row r="5" spans="1:5">
      <c r="A5" s="3">
        <v>1</v>
      </c>
      <c r="B5" s="3">
        <v>1</v>
      </c>
      <c r="C5" s="3" t="s">
        <v>16</v>
      </c>
      <c r="D5" s="3" t="b">
        <v>0</v>
      </c>
      <c r="E5" s="3" t="s">
        <v>17</v>
      </c>
    </row>
    <row r="6" spans="1:5">
      <c r="A6" s="3">
        <v>1</v>
      </c>
      <c r="B6" s="3">
        <v>2</v>
      </c>
      <c r="C6" s="3" t="s">
        <v>18</v>
      </c>
      <c r="D6" s="3" t="b">
        <v>0</v>
      </c>
      <c r="E6" s="3">
        <v>1</v>
      </c>
    </row>
    <row r="7" spans="1:5">
      <c r="A7" s="3">
        <v>1</v>
      </c>
      <c r="B7" s="3">
        <v>3</v>
      </c>
      <c r="C7" s="3" t="s">
        <v>19</v>
      </c>
      <c r="D7" s="3" t="b">
        <v>0</v>
      </c>
      <c r="E7" s="3">
        <v>1</v>
      </c>
    </row>
    <row r="8" spans="1:5">
      <c r="A8" s="3">
        <v>1</v>
      </c>
      <c r="B8" s="3">
        <v>4</v>
      </c>
      <c r="C8" s="3" t="s">
        <v>20</v>
      </c>
      <c r="D8" s="3" t="b">
        <v>0</v>
      </c>
      <c r="E8" s="3">
        <v>1</v>
      </c>
    </row>
    <row r="9" spans="1:5">
      <c r="A9" s="3">
        <v>1</v>
      </c>
      <c r="B9" s="3">
        <v>5</v>
      </c>
      <c r="C9" s="3" t="s">
        <v>21</v>
      </c>
      <c r="D9" s="3" t="b">
        <v>0</v>
      </c>
      <c r="E9" s="3">
        <v>1</v>
      </c>
    </row>
    <row r="10" spans="1:5">
      <c r="A10" s="3">
        <v>1</v>
      </c>
      <c r="B10" s="3">
        <v>6</v>
      </c>
      <c r="C10" s="3" t="s">
        <v>22</v>
      </c>
      <c r="D10" s="3" t="b">
        <v>0</v>
      </c>
      <c r="E10" s="3">
        <v>1</v>
      </c>
    </row>
    <row r="11" spans="1:5">
      <c r="A11" s="3">
        <v>1</v>
      </c>
      <c r="B11" s="3">
        <v>7</v>
      </c>
      <c r="C11" s="3" t="s">
        <v>23</v>
      </c>
      <c r="D11" s="3" t="b">
        <v>0</v>
      </c>
      <c r="E11" s="3" t="s">
        <v>17</v>
      </c>
    </row>
  </sheetData>
  <dataValidations count="1">
    <dataValidation type="list" allowBlank="1" showInputMessage="1" showErrorMessage="1" sqref="B4:E4">
      <formula1>数据类型!$B$2:$B$51</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130" zoomScaleNormal="130" workbookViewId="0">
      <selection activeCell="B5" sqref="B5"/>
    </sheetView>
  </sheetViews>
  <sheetFormatPr defaultColWidth="9" defaultRowHeight="13.5" outlineLevelRow="6" outlineLevelCol="5"/>
  <cols>
    <col min="1" max="1" width="43.375" style="3" customWidth="1"/>
    <col min="2" max="2" width="28.2583333333333" style="3" customWidth="1"/>
    <col min="3" max="3" width="20.5" style="3" customWidth="1"/>
    <col min="4" max="4" width="25.1916666666667" style="4" customWidth="1"/>
    <col min="5" max="6" width="27.75" style="3" customWidth="1"/>
  </cols>
  <sheetData>
    <row r="1" ht="57" spans="1:6">
      <c r="A1" s="5" t="s">
        <v>0</v>
      </c>
      <c r="B1" s="6" t="s">
        <v>24</v>
      </c>
      <c r="C1" s="7" t="s">
        <v>2</v>
      </c>
      <c r="D1" s="6" t="s">
        <v>25</v>
      </c>
      <c r="E1" s="7" t="s">
        <v>26</v>
      </c>
      <c r="F1" s="8" t="s">
        <v>3</v>
      </c>
    </row>
    <row r="2" ht="14.25" spans="1:6">
      <c r="A2" s="9" t="s">
        <v>5</v>
      </c>
      <c r="B2" s="10">
        <v>1</v>
      </c>
      <c r="C2" s="10">
        <v>2</v>
      </c>
      <c r="D2" s="11">
        <v>2</v>
      </c>
      <c r="E2" s="10">
        <v>2</v>
      </c>
      <c r="F2" s="10">
        <v>3</v>
      </c>
    </row>
    <row r="3" ht="14.25" spans="1:6">
      <c r="A3" s="9" t="s">
        <v>6</v>
      </c>
      <c r="B3" s="10" t="s">
        <v>27</v>
      </c>
      <c r="C3" s="10" t="s">
        <v>8</v>
      </c>
      <c r="D3" s="11" t="s">
        <v>28</v>
      </c>
      <c r="E3" s="10" t="s">
        <v>29</v>
      </c>
      <c r="F3" s="10" t="s">
        <v>9</v>
      </c>
    </row>
    <row r="4" ht="14.25" spans="1:6">
      <c r="A4" s="9" t="s">
        <v>11</v>
      </c>
      <c r="B4" s="9" t="s">
        <v>12</v>
      </c>
      <c r="C4" s="9" t="s">
        <v>13</v>
      </c>
      <c r="D4" s="12" t="s">
        <v>13</v>
      </c>
      <c r="E4" s="9" t="s">
        <v>30</v>
      </c>
      <c r="F4" s="9" t="s">
        <v>14</v>
      </c>
    </row>
    <row r="5" ht="391.5" spans="1:6">
      <c r="A5" s="3">
        <v>1</v>
      </c>
      <c r="B5" s="3">
        <v>1</v>
      </c>
      <c r="C5" s="3" t="s">
        <v>31</v>
      </c>
      <c r="D5" s="4" t="s">
        <v>32</v>
      </c>
      <c r="E5" s="3" t="str">
        <f>_xlfn.DISPIMG("ID_E7643144066845909499875619E307E7",1)</f>
        <v>=DISPIMG("ID_E7643144066845909499875619E307E7",1)</v>
      </c>
      <c r="F5" s="3" t="b">
        <v>0</v>
      </c>
    </row>
    <row r="6" ht="409.5" spans="1:6">
      <c r="A6" s="3">
        <v>1</v>
      </c>
      <c r="B6" s="3">
        <v>2</v>
      </c>
      <c r="C6" s="3" t="s">
        <v>33</v>
      </c>
      <c r="D6" s="4" t="s">
        <v>34</v>
      </c>
      <c r="E6" s="3" t="str">
        <f>_xlfn.DISPIMG("ID_130A0325A4B04C0D911ADF88E89DDA07",1)</f>
        <v>=DISPIMG("ID_130A0325A4B04C0D911ADF88E89DDA07",1)</v>
      </c>
      <c r="F6" s="3" t="b">
        <v>0</v>
      </c>
    </row>
    <row r="7" ht="351" spans="1:6">
      <c r="A7" s="3">
        <v>1</v>
      </c>
      <c r="B7" s="3">
        <v>3</v>
      </c>
      <c r="C7" s="3" t="s">
        <v>35</v>
      </c>
      <c r="D7" s="4" t="s">
        <v>36</v>
      </c>
      <c r="E7" s="3" t="str">
        <f>_xlfn.DISPIMG("ID_C46958DFAE624F27B3A2662CFC55E3E1",1)</f>
        <v>=DISPIMG("ID_C46958DFAE624F27B3A2662CFC55E3E1",1)</v>
      </c>
      <c r="F7" s="3" t="b">
        <v>0</v>
      </c>
    </row>
  </sheetData>
  <dataValidations count="1">
    <dataValidation type="list" allowBlank="1" showInputMessage="1" showErrorMessage="1" sqref="B4:F4">
      <formula1>数据类型!$B$2:$B$51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topLeftCell="A19" workbookViewId="0">
      <selection activeCell="C42" sqref="C42"/>
    </sheetView>
  </sheetViews>
  <sheetFormatPr defaultColWidth="9" defaultRowHeight="13.5" outlineLevelCol="4"/>
  <cols>
    <col min="1" max="2" width="13.75" customWidth="1"/>
    <col min="3" max="3" width="10.375" customWidth="1"/>
    <col min="4" max="4" width="129.375" customWidth="1"/>
    <col min="5" max="5" width="28.25" customWidth="1"/>
  </cols>
  <sheetData>
    <row r="1" spans="1:5">
      <c r="A1" s="1" t="s">
        <v>37</v>
      </c>
      <c r="B1" s="1" t="s">
        <v>38</v>
      </c>
      <c r="C1" s="1" t="s">
        <v>39</v>
      </c>
      <c r="D1" s="1" t="s">
        <v>40</v>
      </c>
      <c r="E1" s="1" t="s">
        <v>41</v>
      </c>
    </row>
    <row r="2" spans="1:5">
      <c r="A2" s="2">
        <v>1</v>
      </c>
      <c r="B2" s="2" t="s">
        <v>14</v>
      </c>
      <c r="C2" s="2" t="s">
        <v>42</v>
      </c>
      <c r="D2" s="2" t="s">
        <v>43</v>
      </c>
      <c r="E2" s="2" t="s">
        <v>44</v>
      </c>
    </row>
    <row r="3" spans="1:5">
      <c r="A3" s="2">
        <v>2</v>
      </c>
      <c r="B3" s="2" t="s">
        <v>45</v>
      </c>
      <c r="C3" s="2" t="s">
        <v>46</v>
      </c>
      <c r="D3" s="2" t="s">
        <v>47</v>
      </c>
      <c r="E3" s="2" t="s">
        <v>48</v>
      </c>
    </row>
    <row r="4" spans="1:5">
      <c r="A4" s="2">
        <v>3</v>
      </c>
      <c r="B4" s="2" t="s">
        <v>12</v>
      </c>
      <c r="C4" s="2" t="s">
        <v>46</v>
      </c>
      <c r="D4" s="2" t="s">
        <v>49</v>
      </c>
      <c r="E4" s="2" t="s">
        <v>50</v>
      </c>
    </row>
    <row r="5" spans="1:5">
      <c r="A5" s="2">
        <v>4</v>
      </c>
      <c r="B5" s="2" t="s">
        <v>51</v>
      </c>
      <c r="C5" s="2" t="s">
        <v>46</v>
      </c>
      <c r="D5" s="2" t="s">
        <v>52</v>
      </c>
      <c r="E5" s="2" t="s">
        <v>53</v>
      </c>
    </row>
    <row r="6" spans="1:5">
      <c r="A6" s="2">
        <v>5</v>
      </c>
      <c r="B6" s="2" t="s">
        <v>54</v>
      </c>
      <c r="C6" s="2" t="s">
        <v>46</v>
      </c>
      <c r="D6" s="2" t="s">
        <v>55</v>
      </c>
      <c r="E6" s="2" t="s">
        <v>56</v>
      </c>
    </row>
    <row r="7" spans="1:5">
      <c r="A7" s="2">
        <v>6</v>
      </c>
      <c r="B7" s="2" t="s">
        <v>13</v>
      </c>
      <c r="C7" s="2"/>
      <c r="D7" s="2" t="s">
        <v>57</v>
      </c>
      <c r="E7" s="2" t="s">
        <v>58</v>
      </c>
    </row>
    <row r="8" spans="1:5">
      <c r="A8" s="2">
        <v>7</v>
      </c>
      <c r="B8" s="2" t="s">
        <v>59</v>
      </c>
      <c r="C8" s="2" t="s">
        <v>60</v>
      </c>
      <c r="D8" s="2" t="s">
        <v>61</v>
      </c>
      <c r="E8" s="2" t="s">
        <v>62</v>
      </c>
    </row>
    <row r="9" spans="1:5">
      <c r="A9" s="2">
        <v>8</v>
      </c>
      <c r="B9" s="2" t="s">
        <v>63</v>
      </c>
      <c r="C9" s="2" t="s">
        <v>60</v>
      </c>
      <c r="D9" s="2" t="s">
        <v>64</v>
      </c>
      <c r="E9" s="2" t="s">
        <v>65</v>
      </c>
    </row>
    <row r="10" spans="1:5">
      <c r="A10" s="2">
        <v>9</v>
      </c>
      <c r="B10" s="2" t="s">
        <v>15</v>
      </c>
      <c r="C10" s="2" t="s">
        <v>60</v>
      </c>
      <c r="D10" s="2" t="s">
        <v>66</v>
      </c>
      <c r="E10" s="2" t="s">
        <v>67</v>
      </c>
    </row>
    <row r="11" spans="1:5">
      <c r="A11" s="2">
        <v>10</v>
      </c>
      <c r="B11" s="2" t="s">
        <v>68</v>
      </c>
      <c r="C11" s="2" t="s">
        <v>60</v>
      </c>
      <c r="D11" s="2" t="s">
        <v>69</v>
      </c>
      <c r="E11" s="2" t="s">
        <v>70</v>
      </c>
    </row>
    <row r="12" spans="1:5">
      <c r="A12" s="2">
        <v>11</v>
      </c>
      <c r="B12" s="2" t="s">
        <v>71</v>
      </c>
      <c r="C12" s="2" t="s">
        <v>60</v>
      </c>
      <c r="D12" s="2" t="s">
        <v>72</v>
      </c>
      <c r="E12" s="2" t="s">
        <v>73</v>
      </c>
    </row>
    <row r="13" spans="1:4">
      <c r="A13" s="2">
        <v>12</v>
      </c>
      <c r="B13" s="2" t="s">
        <v>74</v>
      </c>
      <c r="C13" s="2" t="s">
        <v>60</v>
      </c>
      <c r="D13" s="2" t="s">
        <v>75</v>
      </c>
    </row>
    <row r="14" spans="1:3">
      <c r="A14" s="2">
        <v>13</v>
      </c>
      <c r="B14" s="2" t="s">
        <v>76</v>
      </c>
      <c r="C14" s="2" t="s">
        <v>77</v>
      </c>
    </row>
    <row r="15" spans="1:3">
      <c r="A15" s="2">
        <v>14</v>
      </c>
      <c r="B15" s="2" t="s">
        <v>78</v>
      </c>
      <c r="C15" s="2" t="s">
        <v>77</v>
      </c>
    </row>
    <row r="16" spans="1:3">
      <c r="A16" s="2">
        <v>15</v>
      </c>
      <c r="B16" s="2" t="s">
        <v>79</v>
      </c>
      <c r="C16" s="2" t="s">
        <v>77</v>
      </c>
    </row>
    <row r="17" spans="1:3">
      <c r="A17" s="2">
        <v>16</v>
      </c>
      <c r="B17" s="2" t="s">
        <v>80</v>
      </c>
      <c r="C17" s="2" t="s">
        <v>77</v>
      </c>
    </row>
    <row r="18" spans="1:3">
      <c r="A18" s="2">
        <v>17</v>
      </c>
      <c r="B18" s="2" t="s">
        <v>81</v>
      </c>
      <c r="C18" s="2" t="s">
        <v>77</v>
      </c>
    </row>
    <row r="19" spans="1:3">
      <c r="A19" s="2">
        <v>18</v>
      </c>
      <c r="B19" s="2" t="s">
        <v>82</v>
      </c>
      <c r="C19" s="2" t="s">
        <v>77</v>
      </c>
    </row>
    <row r="20" spans="1:3">
      <c r="A20" s="2">
        <v>19</v>
      </c>
      <c r="B20" s="2" t="s">
        <v>83</v>
      </c>
      <c r="C20" s="2" t="s">
        <v>60</v>
      </c>
    </row>
    <row r="21" spans="1:3">
      <c r="A21" s="2">
        <v>20</v>
      </c>
      <c r="B21" s="2" t="s">
        <v>84</v>
      </c>
      <c r="C21" s="2" t="s">
        <v>60</v>
      </c>
    </row>
    <row r="22" spans="1:3">
      <c r="A22" s="2">
        <v>21</v>
      </c>
      <c r="B22" s="2" t="s">
        <v>85</v>
      </c>
      <c r="C22" s="2" t="s">
        <v>60</v>
      </c>
    </row>
    <row r="23" spans="1:3">
      <c r="A23" s="2">
        <v>22</v>
      </c>
      <c r="B23" s="2" t="s">
        <v>86</v>
      </c>
      <c r="C23" s="2" t="s">
        <v>60</v>
      </c>
    </row>
    <row r="24" spans="1:3">
      <c r="A24" s="2">
        <v>23</v>
      </c>
      <c r="B24" s="2" t="s">
        <v>87</v>
      </c>
      <c r="C24" s="2" t="s">
        <v>60</v>
      </c>
    </row>
    <row r="25" spans="1:3">
      <c r="A25" s="2">
        <v>24</v>
      </c>
      <c r="B25" s="2" t="s">
        <v>88</v>
      </c>
      <c r="C25" s="2" t="s">
        <v>60</v>
      </c>
    </row>
    <row r="26" spans="1:5">
      <c r="A26" s="2">
        <v>25</v>
      </c>
      <c r="B26" s="2" t="s">
        <v>89</v>
      </c>
      <c r="C26" s="2" t="s">
        <v>90</v>
      </c>
      <c r="D26" s="2" t="s">
        <v>91</v>
      </c>
      <c r="E26" s="2" t="s">
        <v>92</v>
      </c>
    </row>
    <row r="27" spans="1:5">
      <c r="A27" s="2">
        <v>26</v>
      </c>
      <c r="B27" s="2" t="s">
        <v>93</v>
      </c>
      <c r="C27" s="2" t="s">
        <v>94</v>
      </c>
      <c r="D27" s="2" t="s">
        <v>95</v>
      </c>
      <c r="E27" s="2" t="s">
        <v>96</v>
      </c>
    </row>
    <row r="28" spans="1:5">
      <c r="A28" s="2">
        <v>27</v>
      </c>
      <c r="B28" s="2" t="s">
        <v>97</v>
      </c>
      <c r="C28" s="2" t="s">
        <v>60</v>
      </c>
      <c r="D28" s="2" t="s">
        <v>98</v>
      </c>
      <c r="E28" s="2" t="s">
        <v>99</v>
      </c>
    </row>
    <row r="29" spans="1:5">
      <c r="A29" s="2">
        <v>28</v>
      </c>
      <c r="B29" s="2" t="s">
        <v>100</v>
      </c>
      <c r="C29" s="2" t="s">
        <v>60</v>
      </c>
      <c r="D29" s="2" t="s">
        <v>101</v>
      </c>
      <c r="E29" s="2" t="s">
        <v>102</v>
      </c>
    </row>
    <row r="30" spans="1:4">
      <c r="A30" s="2">
        <v>29</v>
      </c>
      <c r="B30" s="2" t="s">
        <v>30</v>
      </c>
      <c r="C30" s="2" t="s">
        <v>103</v>
      </c>
      <c r="D30" s="2" t="s">
        <v>104</v>
      </c>
    </row>
    <row r="31" spans="1:5">
      <c r="A31" s="2">
        <v>30</v>
      </c>
      <c r="B31" s="2" t="s">
        <v>105</v>
      </c>
      <c r="C31" s="2" t="s">
        <v>94</v>
      </c>
      <c r="D31" s="2" t="s">
        <v>106</v>
      </c>
      <c r="E31" s="2" t="s">
        <v>107</v>
      </c>
    </row>
    <row r="32" spans="1:5">
      <c r="A32" s="2">
        <v>31</v>
      </c>
      <c r="B32" s="2" t="s">
        <v>108</v>
      </c>
      <c r="C32" s="2" t="s">
        <v>46</v>
      </c>
      <c r="D32" s="2" t="s">
        <v>109</v>
      </c>
      <c r="E32" s="2" t="s">
        <v>110</v>
      </c>
    </row>
    <row r="33" spans="1:5">
      <c r="A33" s="2">
        <v>32</v>
      </c>
      <c r="B33" s="2" t="s">
        <v>111</v>
      </c>
      <c r="C33" s="2" t="s">
        <v>112</v>
      </c>
      <c r="D33" s="2" t="s">
        <v>113</v>
      </c>
      <c r="E33" s="2" t="s">
        <v>112</v>
      </c>
    </row>
    <row r="34" spans="1:5">
      <c r="A34" s="2">
        <v>33</v>
      </c>
      <c r="B34" s="2" t="s">
        <v>114</v>
      </c>
      <c r="C34" s="2" t="s">
        <v>115</v>
      </c>
      <c r="D34" s="2" t="s">
        <v>116</v>
      </c>
      <c r="E34" s="2" t="s">
        <v>115</v>
      </c>
    </row>
    <row r="35" spans="1:5">
      <c r="A35" s="2">
        <v>34</v>
      </c>
      <c r="B35" s="2" t="s">
        <v>117</v>
      </c>
      <c r="C35" s="2" t="s">
        <v>60</v>
      </c>
      <c r="D35" s="2" t="s">
        <v>118</v>
      </c>
      <c r="E35" s="2" t="s">
        <v>107</v>
      </c>
    </row>
    <row r="36" spans="1:5">
      <c r="A36" s="2">
        <v>35</v>
      </c>
      <c r="B36" s="2" t="s">
        <v>119</v>
      </c>
      <c r="C36" s="2"/>
      <c r="D36" s="2" t="s">
        <v>120</v>
      </c>
      <c r="E36" s="2" t="s">
        <v>121</v>
      </c>
    </row>
    <row r="37" spans="1:4">
      <c r="A37" s="2">
        <v>36</v>
      </c>
      <c r="B37" s="2" t="s">
        <v>122</v>
      </c>
      <c r="C37" s="2"/>
      <c r="D37" s="2" t="s">
        <v>123</v>
      </c>
    </row>
    <row r="38" spans="1:5">
      <c r="A38" s="2">
        <v>37</v>
      </c>
      <c r="B38" s="2" t="s">
        <v>124</v>
      </c>
      <c r="C38" s="2" t="s">
        <v>60</v>
      </c>
      <c r="D38" s="2" t="s">
        <v>125</v>
      </c>
      <c r="E38" s="2" t="s">
        <v>126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cfg_Archival_档案库主界面</vt:lpstr>
      <vt:lpstr>cfg_ArchivalItem_档案库子项</vt:lpstr>
      <vt:lpstr>数据类型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cp:lastModifiedBy>
  <dcterms:created xsi:type="dcterms:W3CDTF">2023-05-12T11:15:00Z</dcterms:created>
  <dcterms:modified xsi:type="dcterms:W3CDTF">2025-10-20T06:45:17Z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D618D8C7923F446D88F8F55AE3288232_12</vt:lpwstr>
  </property>
</Properties>
</file>